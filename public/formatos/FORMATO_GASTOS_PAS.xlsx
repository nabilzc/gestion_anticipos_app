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bil Zapata\Documents\ADMINISTRACIÓN Y FINANZAS FUNDAEC\Formatos para solicitud y cierre de Anticipos\"/>
    </mc:Choice>
  </mc:AlternateContent>
  <bookViews>
    <workbookView xWindow="0" yWindow="0" windowWidth="23040" windowHeight="7920"/>
  </bookViews>
  <sheets>
    <sheet name="DVF-3.1-FO05 LEGALIZA" sheetId="1" r:id="rId1"/>
    <sheet name="Hoja1" sheetId="3" r:id="rId2"/>
  </sheets>
  <definedNames>
    <definedName name="ADMINISTRACION">Hoja1!#REF!</definedName>
    <definedName name="ADMINISTRACION_GENERAL">Hoja1!#REF!</definedName>
    <definedName name="ATLANTICO">Hoja1!$L$5:$L$35</definedName>
    <definedName name="CALI">Hoja1!$R$5:$R$35</definedName>
    <definedName name="CENTROS_ESPECIALES">Hoja1!#REF!</definedName>
    <definedName name="CHOCO">Hoja1!$AB$5:$AB$35</definedName>
    <definedName name="COORDINACION_ZONA_CENTRO">Hoja1!$AD$5:$AD$24</definedName>
    <definedName name="COORDINACION_ZONA_SUR">Hoja1!$AC$5:$AC$25</definedName>
    <definedName name="CORDOBA_CENTRAL">Hoja1!$Z$5:$Z$35</definedName>
    <definedName name="CUBR_GASTOS">Hoja1!#REF!</definedName>
    <definedName name="CULTIVANDO">Hoja1!#REF!</definedName>
    <definedName name="ECHIDNA">Hoja1!#REF!</definedName>
    <definedName name="LORICA">Hoja1!$AA$5:$AA$35</definedName>
    <definedName name="NORTE_DE_ATLANTICO">Hoja1!$N$5:$N$35</definedName>
    <definedName name="NORTE_DE_BOLIVAR">Hoja1!$J$5:$J$35</definedName>
    <definedName name="NORTE_DE_CAUCA">Hoja1!$S$5:$S$35</definedName>
    <definedName name="NORTE_DE_CORDOBA">Hoja1!$X$5:$X$35</definedName>
    <definedName name="ORIENTE_DE_SUCRE">Hoja1!$V$5:$V$35</definedName>
    <definedName name="PAS_COORDINACION_NACIONAL">Hoja1!$I$5:$I$19</definedName>
    <definedName name="RIOFRIO_Y_TULUA">Hoja1!$O$5:$O$35</definedName>
    <definedName name="RIOHACHA">Hoja1!$U$5:$U$35</definedName>
    <definedName name="RUBRO">Hoja1!$D$5:$D$19</definedName>
    <definedName name="SAN_SEBASTIAN">Hoja1!$Y$5:$Y$35</definedName>
    <definedName name="SANTA_LUCIA">Hoja1!$M$5:$M$35</definedName>
    <definedName name="SANTA_ROSA">Hoja1!$K$5:$K$35</definedName>
    <definedName name="SUCRE_CENTRAL">Hoja1!$W$5:$W$35</definedName>
    <definedName name="SUR_GUAJIRA">Hoja1!$P$5:$P$35</definedName>
    <definedName name="VALLEDUPAR">Hoja1!$Q$5:$Q$35</definedName>
    <definedName name="YARUMALES_PADILLA_PAILA">Hoja1!$T$5:$T$35</definedName>
  </definedNames>
  <calcPr calcId="162913"/>
  <extLst>
    <ext uri="GoogleSheetsCustomDataVersion2">
      <go:sheetsCustomData xmlns:go="http://customooxmlschemas.google.com/" r:id="rId5" roundtripDataChecksum="nOG9VItnDvcm6lSPsB9tupdTKQC5cUkmIzcJPAK8prE="/>
    </ext>
  </extLst>
</workbook>
</file>

<file path=xl/calcChain.xml><?xml version="1.0" encoding="utf-8"?>
<calcChain xmlns="http://schemas.openxmlformats.org/spreadsheetml/2006/main">
  <c r="J45" i="1" l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 l="1"/>
  <c r="F7" i="1" l="1"/>
  <c r="F9" i="1" l="1"/>
</calcChain>
</file>

<file path=xl/sharedStrings.xml><?xml version="1.0" encoding="utf-8"?>
<sst xmlns="http://schemas.openxmlformats.org/spreadsheetml/2006/main" count="900" uniqueCount="176">
  <si>
    <t xml:space="preserve">FECHA </t>
  </si>
  <si>
    <t>INFORMACIÓN DEL RESPONSABLE DEL ANTICIPO</t>
  </si>
  <si>
    <t>NOMBRE:</t>
  </si>
  <si>
    <t xml:space="preserve">CC.       </t>
  </si>
  <si>
    <t>ÁREA:</t>
  </si>
  <si>
    <t>CARGO:</t>
  </si>
  <si>
    <t>NIT</t>
  </si>
  <si>
    <t>TOTAL GASTOS</t>
  </si>
  <si>
    <t>VALOR ANTICIPO</t>
  </si>
  <si>
    <t xml:space="preserve">VALOR A REINTEGRAR </t>
  </si>
  <si>
    <t>OBSERVACIONES</t>
  </si>
  <si>
    <t>TRANSPORTE</t>
  </si>
  <si>
    <t>PESOS COLOMBIANOS</t>
  </si>
  <si>
    <t>HOSPEDAJE</t>
  </si>
  <si>
    <t>DÓLARES</t>
  </si>
  <si>
    <t>ALIMENTACION</t>
  </si>
  <si>
    <t>EUROS</t>
  </si>
  <si>
    <t>TARJETA DE TURISMO</t>
  </si>
  <si>
    <t>COSTOS DE VISA</t>
  </si>
  <si>
    <t>GASTO CONSULAR</t>
  </si>
  <si>
    <t xml:space="preserve">IMPUESTOS MIGRATORIOS </t>
  </si>
  <si>
    <t>SEGURO MEDICO</t>
  </si>
  <si>
    <r>
      <rPr>
        <sz val="10"/>
        <color rgb="FF0070C0"/>
        <rFont val="Tahoma"/>
        <family val="2"/>
      </rPr>
      <t>OTROS GASTOS</t>
    </r>
    <r>
      <rPr>
        <sz val="6"/>
        <color rgb="FF0070C0"/>
        <rFont val="Tahoma"/>
        <family val="2"/>
      </rPr>
      <t xml:space="preserve"> (Resolución Comisiones Univ)</t>
    </r>
  </si>
  <si>
    <t>COMPRAS DE BIENES Y SERVICIOS-FESTIVAL EVENTOS INSTIT</t>
  </si>
  <si>
    <t>DESTINO MATERIALES Y SUMINISTROS</t>
  </si>
  <si>
    <t>GTOS LEGALES - TRAMITES Y LICENCIAS</t>
  </si>
  <si>
    <t>CLAVE DESPROTEGER HOJA EN MINUSCULAS : UAO</t>
  </si>
  <si>
    <t>SI</t>
  </si>
  <si>
    <t>CONCEPTO DE LEGALIZACIÓN:</t>
  </si>
  <si>
    <t>Firma</t>
  </si>
  <si>
    <t>Fecha</t>
  </si>
  <si>
    <t>Rubro Programa</t>
  </si>
  <si>
    <t>Monto COP</t>
  </si>
  <si>
    <t>Beneficiario</t>
  </si>
  <si>
    <t>Detalles</t>
  </si>
  <si>
    <t>Codigo Contabilidad</t>
  </si>
  <si>
    <t>CENTRO DE COSTO</t>
  </si>
  <si>
    <t>CODIGO</t>
  </si>
  <si>
    <t>LEGALIZACION DE ANTICIPO</t>
  </si>
  <si>
    <t>Centro de Costos</t>
  </si>
  <si>
    <t>PAS COORDINACION NACIONAL</t>
  </si>
  <si>
    <t>Materiales de oficina</t>
  </si>
  <si>
    <t>11</t>
  </si>
  <si>
    <t>Otros gastos (Dotacion)</t>
  </si>
  <si>
    <t>12</t>
  </si>
  <si>
    <t>Tiquetes aereos</t>
  </si>
  <si>
    <t>21</t>
  </si>
  <si>
    <t>Transporte interno</t>
  </si>
  <si>
    <t>22</t>
  </si>
  <si>
    <t>Hospedaje</t>
  </si>
  <si>
    <t>23</t>
  </si>
  <si>
    <t>Alimentación</t>
  </si>
  <si>
    <t>24</t>
  </si>
  <si>
    <t>Tiquete Aereos - asesoria exter</t>
  </si>
  <si>
    <t>31</t>
  </si>
  <si>
    <t>Transp Local - asesoria exter</t>
  </si>
  <si>
    <t>32</t>
  </si>
  <si>
    <t>Hospedaje - asesoria exter</t>
  </si>
  <si>
    <t>33</t>
  </si>
  <si>
    <t>Alimentación - asesoria exter</t>
  </si>
  <si>
    <t>34</t>
  </si>
  <si>
    <t>Honorarios - asesoria exter</t>
  </si>
  <si>
    <t>35</t>
  </si>
  <si>
    <t>Encuentro Nacional</t>
  </si>
  <si>
    <t>41</t>
  </si>
  <si>
    <t>Encuentro Regional</t>
  </si>
  <si>
    <t>42</t>
  </si>
  <si>
    <t>Personal</t>
  </si>
  <si>
    <t>51</t>
  </si>
  <si>
    <t>Pasantía</t>
  </si>
  <si>
    <t>61</t>
  </si>
  <si>
    <t>43</t>
  </si>
  <si>
    <t>44</t>
  </si>
  <si>
    <t>52</t>
  </si>
  <si>
    <t>13</t>
  </si>
  <si>
    <t>14</t>
  </si>
  <si>
    <t>15</t>
  </si>
  <si>
    <t>NORTE DE BOLIVAR</t>
  </si>
  <si>
    <t>SANTA ROSA</t>
  </si>
  <si>
    <t>ATLANTICO</t>
  </si>
  <si>
    <t>SANTA LUCIA</t>
  </si>
  <si>
    <t>NORTE DE ATLANTICO</t>
  </si>
  <si>
    <t>RIOFRIO/TULUA</t>
  </si>
  <si>
    <t>SUR GUAJIRA</t>
  </si>
  <si>
    <t>VALLEDUPAR</t>
  </si>
  <si>
    <t>CALI</t>
  </si>
  <si>
    <t>NORTE DE CAUCA</t>
  </si>
  <si>
    <t>YARUMALES-PADILLA-PAILA</t>
  </si>
  <si>
    <t>RIOHACHA</t>
  </si>
  <si>
    <t>ORIENTE DE SUCRE</t>
  </si>
  <si>
    <t>SUCRE CENTRAL</t>
  </si>
  <si>
    <t>NORTE DE CORDOBA</t>
  </si>
  <si>
    <t>SAN SEBASTIAN</t>
  </si>
  <si>
    <t>CORDOBA CENTRAL</t>
  </si>
  <si>
    <t>LORICA</t>
  </si>
  <si>
    <t>CHOCO</t>
  </si>
  <si>
    <t>Teléfono</t>
  </si>
  <si>
    <t>Internet</t>
  </si>
  <si>
    <t>Materiales de Oficina</t>
  </si>
  <si>
    <t>Correo/Transporte de Materiales</t>
  </si>
  <si>
    <t>Muebles y computadores</t>
  </si>
  <si>
    <t>Arriendo</t>
  </si>
  <si>
    <t>Transporte</t>
  </si>
  <si>
    <t>Otros Gastos (Dotación)</t>
  </si>
  <si>
    <t>Laboratorio</t>
  </si>
  <si>
    <t>Textos</t>
  </si>
  <si>
    <t>Materiales Prácticas</t>
  </si>
  <si>
    <t>Encuentro nacional de coordinadores</t>
  </si>
  <si>
    <t>Encuentro regional de coordinadores</t>
  </si>
  <si>
    <t>Costos locales de capacitación</t>
  </si>
  <si>
    <t>Encuentros de participantes</t>
  </si>
  <si>
    <t>Encuentros de Tutores</t>
  </si>
  <si>
    <t>Reunion Refuerzo y Avance</t>
  </si>
  <si>
    <t>Costos de transporte y tutorias</t>
  </si>
  <si>
    <t>Reuniones Coordinador con Asistentes</t>
  </si>
  <si>
    <t>Reuniones Interinstitucionales</t>
  </si>
  <si>
    <t>Reuniones con otras organizaciones</t>
  </si>
  <si>
    <t>Proyectos de servicio</t>
  </si>
  <si>
    <t>Iniciativas productivas</t>
  </si>
  <si>
    <t>Personal tutoria</t>
  </si>
  <si>
    <t>Personal pasantia</t>
  </si>
  <si>
    <t>Personal coordinación</t>
  </si>
  <si>
    <t>Personal asistente</t>
  </si>
  <si>
    <t>Apoyo financiero/Becas/ Oficios</t>
  </si>
  <si>
    <t>Capacitación: ISGP - Cursos cortos</t>
  </si>
  <si>
    <t>Encuentros</t>
  </si>
  <si>
    <t>Parcelas demostrativas</t>
  </si>
  <si>
    <t>RIOFRIO Y TULUA</t>
  </si>
  <si>
    <t>YARUMALES PADILLA PAILA</t>
  </si>
  <si>
    <t>16</t>
  </si>
  <si>
    <t>17</t>
  </si>
  <si>
    <t>18</t>
  </si>
  <si>
    <t>53</t>
  </si>
  <si>
    <t>25</t>
  </si>
  <si>
    <t>26</t>
  </si>
  <si>
    <t>27</t>
  </si>
  <si>
    <t>28</t>
  </si>
  <si>
    <t>29</t>
  </si>
  <si>
    <t>1</t>
  </si>
  <si>
    <t>2</t>
  </si>
  <si>
    <t>3</t>
  </si>
  <si>
    <t>411</t>
  </si>
  <si>
    <t>412</t>
  </si>
  <si>
    <t>413</t>
  </si>
  <si>
    <t>414</t>
  </si>
  <si>
    <t>415</t>
  </si>
  <si>
    <t>421</t>
  </si>
  <si>
    <t>431</t>
  </si>
  <si>
    <t>432</t>
  </si>
  <si>
    <t>441</t>
  </si>
  <si>
    <t>451</t>
  </si>
  <si>
    <t>452</t>
  </si>
  <si>
    <t>461</t>
  </si>
  <si>
    <t>511</t>
  </si>
  <si>
    <t>512</t>
  </si>
  <si>
    <t>513</t>
  </si>
  <si>
    <t>514</t>
  </si>
  <si>
    <t>515</t>
  </si>
  <si>
    <t>516</t>
  </si>
  <si>
    <t>481</t>
  </si>
  <si>
    <t>COORDINACION ZONA SUR</t>
  </si>
  <si>
    <t>COORDINACION ZONA CENTRO</t>
  </si>
  <si>
    <t>Otros Gastos (Dotación y Gastos Bancarios)</t>
  </si>
  <si>
    <t xml:space="preserve">Encuentro nacional de coordinadores </t>
  </si>
  <si>
    <t xml:space="preserve">Encuentro regional de coordinadores </t>
  </si>
  <si>
    <t>Capacitación de capacitadores</t>
  </si>
  <si>
    <t xml:space="preserve">Capacitación de tutores en documentos </t>
  </si>
  <si>
    <t>Capacitación de asistentes de coordinación</t>
  </si>
  <si>
    <t>Asesorias FUNDAEC</t>
  </si>
  <si>
    <t xml:space="preserve">Reuniones zonales </t>
  </si>
  <si>
    <t>Fondo semilla</t>
  </si>
  <si>
    <t>Capacitación y asesoría administrativa</t>
  </si>
  <si>
    <t>Personal auxiliar</t>
  </si>
  <si>
    <t>Costos Administrativos FEDESSCO</t>
  </si>
  <si>
    <t>517</t>
  </si>
  <si>
    <t>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</si>
</sst>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164" formatCode="d/m/yyyy"/>
    <numFmt numFmtId="165" formatCode="_(&quot;$&quot;\ * #,##0.00_);_(&quot;$&quot;\ * \(#,##0.00\);_(&quot;$&quot;\ * &quot;-&quot;??_);_(@_)"/>
    <numFmt numFmtId="166" formatCode="_(&quot;$&quot;\ * #,##0_);_(&quot;$&quot;\ * \(#,##0\);_(&quot;$&quot;\ * &quot;-&quot;??_);_(@_)"/>
    <numFmt numFmtId="167" formatCode="_-&quot;$&quot;\ * #,##0_-;\-&quot;$&quot;\ * #,##0_-;_-&quot;$&quot;\ * &quot;-&quot;??_-;_-@_-"/>
  </numFmts>
  <fonts count="2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b/>
      <sz val="18"/>
      <color theme="1"/>
      <name val="Tahoma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7F7F7F"/>
      <name val="Arial"/>
      <family val="2"/>
    </font>
    <font>
      <sz val="9"/>
      <color theme="1"/>
      <name val="Arial"/>
      <family val="2"/>
    </font>
    <font>
      <b/>
      <sz val="10"/>
      <color theme="1"/>
      <name val="Tahoma"/>
      <family val="2"/>
    </font>
    <font>
      <sz val="10"/>
      <color rgb="FF0070C0"/>
      <name val="Tahoma"/>
      <family val="2"/>
    </font>
    <font>
      <sz val="6"/>
      <color rgb="FF0070C0"/>
      <name val="Tahoma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89CD71"/>
        <bgColor rgb="FF89CD7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9CD71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8" fillId="0" borderId="0" applyFont="0" applyFill="0" applyBorder="0" applyAlignment="0" applyProtection="0"/>
    <xf numFmtId="0" fontId="22" fillId="0" borderId="24"/>
    <xf numFmtId="0" fontId="18" fillId="0" borderId="24"/>
    <xf numFmtId="0" fontId="5" fillId="0" borderId="24"/>
  </cellStyleXfs>
  <cellXfs count="160">
    <xf numFmtId="0" fontId="0" fillId="0" borderId="0" xfId="0" applyFont="1" applyAlignment="1"/>
    <xf numFmtId="0" fontId="1" fillId="0" borderId="1" xfId="0" applyFont="1" applyBorder="1"/>
    <xf numFmtId="164" fontId="2" fillId="0" borderId="1" xfId="0" applyNumberFormat="1" applyFont="1" applyBorder="1"/>
    <xf numFmtId="164" fontId="2" fillId="0" borderId="2" xfId="0" applyNumberFormat="1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3" fillId="0" borderId="4" xfId="0" applyFont="1" applyBorder="1"/>
    <xf numFmtId="0" fontId="3" fillId="0" borderId="9" xfId="0" applyFont="1" applyBorder="1"/>
    <xf numFmtId="0" fontId="1" fillId="0" borderId="4" xfId="0" applyFont="1" applyBorder="1"/>
    <xf numFmtId="0" fontId="1" fillId="0" borderId="0" xfId="0" applyFont="1"/>
    <xf numFmtId="0" fontId="7" fillId="0" borderId="0" xfId="0" applyFont="1"/>
    <xf numFmtId="0" fontId="7" fillId="0" borderId="4" xfId="0" applyFont="1" applyBorder="1"/>
    <xf numFmtId="0" fontId="8" fillId="0" borderId="0" xfId="0" applyFont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4" xfId="0" applyFont="1" applyBorder="1" applyAlignment="1">
      <alignment vertical="center"/>
    </xf>
    <xf numFmtId="0" fontId="10" fillId="0" borderId="0" xfId="0" applyFont="1" applyAlignment="1">
      <alignment horizontal="right"/>
    </xf>
    <xf numFmtId="165" fontId="10" fillId="0" borderId="0" xfId="0" applyNumberFormat="1" applyFont="1" applyAlignment="1">
      <alignment horizontal="left"/>
    </xf>
    <xf numFmtId="0" fontId="7" fillId="0" borderId="13" xfId="0" applyFont="1" applyBorder="1"/>
    <xf numFmtId="0" fontId="7" fillId="0" borderId="2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166" fontId="10" fillId="0" borderId="10" xfId="0" applyNumberFormat="1" applyFont="1" applyBorder="1"/>
    <xf numFmtId="0" fontId="1" fillId="0" borderId="0" xfId="0" applyFont="1" applyAlignment="1">
      <alignment horizontal="right"/>
    </xf>
    <xf numFmtId="166" fontId="7" fillId="0" borderId="10" xfId="0" applyNumberFormat="1" applyFont="1" applyBorder="1" applyAlignment="1"/>
    <xf numFmtId="0" fontId="7" fillId="0" borderId="4" xfId="0" applyFont="1" applyBorder="1" applyAlignment="1">
      <alignment horizontal="center"/>
    </xf>
    <xf numFmtId="0" fontId="13" fillId="0" borderId="0" xfId="0" applyFont="1"/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25" xfId="0" applyFont="1" applyBorder="1"/>
    <xf numFmtId="0" fontId="7" fillId="0" borderId="13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14" fillId="0" borderId="18" xfId="0" applyFont="1" applyBorder="1" applyAlignment="1">
      <alignment horizontal="right"/>
    </xf>
    <xf numFmtId="0" fontId="3" fillId="0" borderId="19" xfId="0" applyFont="1" applyBorder="1"/>
    <xf numFmtId="0" fontId="15" fillId="0" borderId="0" xfId="0" applyFont="1"/>
    <xf numFmtId="0" fontId="0" fillId="0" borderId="0" xfId="0" applyFont="1" applyAlignment="1"/>
    <xf numFmtId="0" fontId="7" fillId="0" borderId="24" xfId="0" applyFont="1" applyBorder="1"/>
    <xf numFmtId="0" fontId="7" fillId="0" borderId="10" xfId="0" applyFont="1" applyBorder="1" applyAlignment="1"/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5" fillId="0" borderId="24" xfId="0" applyFont="1" applyBorder="1" applyAlignment="1">
      <alignment wrapText="1"/>
    </xf>
    <xf numFmtId="0" fontId="7" fillId="0" borderId="21" xfId="0" applyFont="1" applyBorder="1" applyAlignment="1">
      <alignment vertical="center"/>
    </xf>
    <xf numFmtId="0" fontId="19" fillId="0" borderId="24" xfId="0" applyFont="1" applyBorder="1" applyAlignment="1"/>
    <xf numFmtId="0" fontId="7" fillId="0" borderId="24" xfId="0" applyFont="1" applyBorder="1" applyAlignment="1">
      <alignment wrapText="1"/>
    </xf>
    <xf numFmtId="0" fontId="17" fillId="0" borderId="4" xfId="0" applyFont="1" applyBorder="1" applyAlignment="1">
      <alignment vertical="center"/>
    </xf>
    <xf numFmtId="166" fontId="10" fillId="4" borderId="24" xfId="0" applyNumberFormat="1" applyFont="1" applyFill="1" applyBorder="1"/>
    <xf numFmtId="0" fontId="7" fillId="4" borderId="24" xfId="0" applyFont="1" applyFill="1" applyBorder="1"/>
    <xf numFmtId="0" fontId="1" fillId="4" borderId="0" xfId="0" applyFont="1" applyFill="1" applyAlignment="1">
      <alignment horizontal="right"/>
    </xf>
    <xf numFmtId="166" fontId="10" fillId="4" borderId="10" xfId="0" applyNumberFormat="1" applyFont="1" applyFill="1" applyBorder="1"/>
    <xf numFmtId="0" fontId="7" fillId="0" borderId="0" xfId="0" applyFont="1" applyAlignment="1">
      <alignment horizontal="center"/>
    </xf>
    <xf numFmtId="0" fontId="12" fillId="3" borderId="24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14" fontId="7" fillId="0" borderId="21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5" fillId="0" borderId="46" xfId="0" applyFont="1" applyBorder="1" applyAlignment="1"/>
    <xf numFmtId="4" fontId="25" fillId="4" borderId="48" xfId="0" applyNumberFormat="1" applyFont="1" applyFill="1" applyBorder="1" applyProtection="1">
      <protection locked="0"/>
    </xf>
    <xf numFmtId="44" fontId="7" fillId="0" borderId="21" xfId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5" xfId="0" applyFont="1" applyBorder="1"/>
    <xf numFmtId="0" fontId="3" fillId="0" borderId="24" xfId="0" applyFont="1" applyBorder="1"/>
    <xf numFmtId="0" fontId="1" fillId="0" borderId="24" xfId="0" applyFont="1" applyBorder="1"/>
    <xf numFmtId="0" fontId="17" fillId="0" borderId="2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8" fillId="0" borderId="24" xfId="3" applyFont="1" applyAlignment="1"/>
    <xf numFmtId="0" fontId="23" fillId="0" borderId="50" xfId="4" applyFont="1" applyBorder="1" applyAlignment="1">
      <alignment horizontal="center" vertical="center"/>
    </xf>
    <xf numFmtId="0" fontId="24" fillId="0" borderId="51" xfId="4" applyFont="1" applyBorder="1" applyAlignment="1">
      <alignment horizontal="center" vertical="center"/>
    </xf>
    <xf numFmtId="0" fontId="23" fillId="0" borderId="52" xfId="4" applyFont="1" applyBorder="1" applyAlignment="1">
      <alignment horizontal="center" vertical="center"/>
    </xf>
    <xf numFmtId="49" fontId="23" fillId="0" borderId="43" xfId="4" applyNumberFormat="1" applyFont="1" applyBorder="1" applyAlignment="1">
      <alignment vertical="center"/>
    </xf>
    <xf numFmtId="0" fontId="24" fillId="0" borderId="53" xfId="4" applyFont="1" applyBorder="1" applyAlignment="1">
      <alignment horizontal="left" indent="3"/>
    </xf>
    <xf numFmtId="0" fontId="24" fillId="0" borderId="49" xfId="4" applyFont="1" applyBorder="1" applyAlignment="1">
      <alignment horizontal="left" indent="3"/>
    </xf>
    <xf numFmtId="49" fontId="24" fillId="0" borderId="44" xfId="4" applyNumberFormat="1" applyFont="1" applyFill="1" applyBorder="1" applyAlignment="1">
      <alignment vertical="center"/>
    </xf>
    <xf numFmtId="0" fontId="24" fillId="0" borderId="54" xfId="4" applyFont="1" applyBorder="1" applyAlignment="1">
      <alignment horizontal="center" vertical="center"/>
    </xf>
    <xf numFmtId="49" fontId="24" fillId="0" borderId="44" xfId="4" applyNumberFormat="1" applyFont="1" applyBorder="1" applyAlignment="1">
      <alignment vertical="center"/>
    </xf>
    <xf numFmtId="0" fontId="24" fillId="0" borderId="54" xfId="4" applyFont="1" applyBorder="1" applyAlignment="1">
      <alignment horizontal="left" indent="3"/>
    </xf>
    <xf numFmtId="0" fontId="24" fillId="0" borderId="55" xfId="4" applyFont="1" applyBorder="1" applyAlignment="1">
      <alignment horizontal="left" indent="3"/>
    </xf>
    <xf numFmtId="0" fontId="24" fillId="0" borderId="56" xfId="4" applyFont="1" applyBorder="1" applyAlignment="1">
      <alignment horizontal="left" indent="3"/>
    </xf>
    <xf numFmtId="0" fontId="24" fillId="0" borderId="57" xfId="4" applyFont="1" applyBorder="1" applyAlignment="1">
      <alignment horizontal="left" indent="3"/>
    </xf>
    <xf numFmtId="49" fontId="24" fillId="0" borderId="45" xfId="4" applyNumberFormat="1" applyFont="1" applyBorder="1" applyAlignment="1">
      <alignment vertical="center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5" fillId="0" borderId="12" xfId="0" applyFont="1" applyBorder="1"/>
    <xf numFmtId="0" fontId="10" fillId="0" borderId="0" xfId="0" applyFont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10" fillId="4" borderId="24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49" fontId="21" fillId="0" borderId="29" xfId="0" applyNumberFormat="1" applyFont="1" applyBorder="1" applyAlignment="1" applyProtection="1">
      <alignment horizontal="center" vertical="center"/>
      <protection locked="0"/>
    </xf>
    <xf numFmtId="49" fontId="21" fillId="0" borderId="41" xfId="0" applyNumberFormat="1" applyFont="1" applyBorder="1" applyAlignment="1" applyProtection="1">
      <alignment horizontal="center" vertical="center"/>
      <protection locked="0"/>
    </xf>
    <xf numFmtId="49" fontId="21" fillId="0" borderId="46" xfId="0" applyNumberFormat="1" applyFont="1" applyBorder="1" applyAlignment="1" applyProtection="1">
      <alignment horizontal="center" vertical="center"/>
      <protection locked="0"/>
    </xf>
    <xf numFmtId="49" fontId="21" fillId="0" borderId="24" xfId="0" applyNumberFormat="1" applyFont="1" applyBorder="1" applyAlignment="1" applyProtection="1">
      <alignment horizontal="center" vertical="center"/>
      <protection locked="0"/>
    </xf>
    <xf numFmtId="49" fontId="21" fillId="0" borderId="40" xfId="0" applyNumberFormat="1" applyFont="1" applyBorder="1" applyAlignment="1" applyProtection="1">
      <alignment horizontal="center" vertical="center"/>
      <protection locked="0"/>
    </xf>
    <xf numFmtId="49" fontId="21" fillId="0" borderId="47" xfId="0" applyNumberFormat="1" applyFont="1" applyBorder="1" applyAlignment="1" applyProtection="1">
      <alignment horizontal="center" vertical="center"/>
      <protection locked="0"/>
    </xf>
    <xf numFmtId="49" fontId="21" fillId="0" borderId="42" xfId="0" applyNumberFormat="1" applyFont="1" applyBorder="1" applyAlignment="1" applyProtection="1">
      <alignment horizontal="center" vertical="center"/>
      <protection locked="0"/>
    </xf>
    <xf numFmtId="0" fontId="7" fillId="4" borderId="24" xfId="0" applyFont="1" applyFill="1" applyBorder="1" applyAlignment="1">
      <alignment horizontal="center" wrapText="1"/>
    </xf>
    <xf numFmtId="0" fontId="5" fillId="0" borderId="7" xfId="0" applyFont="1" applyBorder="1"/>
    <xf numFmtId="167" fontId="21" fillId="0" borderId="39" xfId="1" applyNumberFormat="1" applyFont="1" applyBorder="1" applyAlignment="1" applyProtection="1">
      <alignment horizontal="center" vertical="center" wrapText="1"/>
      <protection locked="0"/>
    </xf>
    <xf numFmtId="167" fontId="21" fillId="0" borderId="37" xfId="1" applyNumberFormat="1" applyFont="1" applyBorder="1" applyAlignment="1" applyProtection="1">
      <alignment horizontal="center" vertical="center" wrapText="1"/>
      <protection locked="0"/>
    </xf>
    <xf numFmtId="164" fontId="7" fillId="0" borderId="10" xfId="0" applyNumberFormat="1" applyFont="1" applyBorder="1" applyAlignment="1">
      <alignment horizontal="center" vertical="center" wrapText="1"/>
    </xf>
    <xf numFmtId="0" fontId="5" fillId="0" borderId="22" xfId="0" applyFont="1" applyBorder="1"/>
    <xf numFmtId="164" fontId="7" fillId="0" borderId="24" xfId="0" applyNumberFormat="1" applyFont="1" applyBorder="1" applyAlignment="1">
      <alignment horizontal="center" vertical="center" wrapText="1"/>
    </xf>
    <xf numFmtId="0" fontId="5" fillId="0" borderId="23" xfId="0" applyFont="1" applyBorder="1"/>
    <xf numFmtId="0" fontId="21" fillId="0" borderId="38" xfId="0" applyFont="1" applyBorder="1" applyAlignment="1" applyProtection="1">
      <alignment horizontal="center" vertical="center"/>
      <protection locked="0"/>
    </xf>
    <xf numFmtId="0" fontId="21" fillId="0" borderId="36" xfId="0" applyFont="1" applyBorder="1" applyAlignment="1" applyProtection="1">
      <alignment horizontal="center" vertical="center"/>
      <protection locked="0"/>
    </xf>
    <xf numFmtId="0" fontId="21" fillId="0" borderId="39" xfId="0" applyFont="1" applyBorder="1" applyAlignment="1" applyProtection="1">
      <alignment horizontal="center" vertical="center" wrapText="1"/>
      <protection locked="0"/>
    </xf>
    <xf numFmtId="0" fontId="21" fillId="0" borderId="37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/>
    <xf numFmtId="0" fontId="4" fillId="0" borderId="8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5" fillId="0" borderId="15" xfId="0" applyFont="1" applyBorder="1"/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1" fillId="0" borderId="32" xfId="0" applyFont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/>
    </xf>
    <xf numFmtId="0" fontId="5" fillId="0" borderId="59" xfId="0" applyFont="1" applyBorder="1" applyAlignment="1"/>
    <xf numFmtId="49" fontId="21" fillId="0" borderId="58" xfId="0" applyNumberFormat="1" applyFont="1" applyBorder="1" applyAlignment="1" applyProtection="1">
      <alignment horizontal="center" vertical="center"/>
      <protection locked="0"/>
    </xf>
  </cellXfs>
  <cellStyles count="5">
    <cellStyle name="Moneda" xfId="1" builtinId="4"/>
    <cellStyle name="Normal" xfId="0" builtinId="0"/>
    <cellStyle name="Normal 2" xfId="2"/>
    <cellStyle name="Normal 2 2" xfId="4"/>
    <cellStyle name="Normal 3" xfId="3"/>
  </cellStyles>
  <dxfs count="2"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510540</xdr:colOff>
      <xdr:row>1</xdr:row>
      <xdr:rowOff>91440</xdr:rowOff>
    </xdr:from>
    <xdr:ext cx="2301240" cy="457200"/>
    <xdr:pic>
      <xdr:nvPicPr>
        <xdr:cNvPr id="3" name="image1.png"/>
        <xdr:cNvPicPr preferRelativeResize="0"/>
      </xdr:nvPicPr>
      <xdr:blipFill rotWithShape="1">
        <a:blip xmlns:r="http://schemas.openxmlformats.org/officeDocument/2006/relationships" r:embed="rId1" cstate="print"/>
        <a:srcRect t="31438" b="28428"/>
        <a:stretch/>
      </xdr:blipFill>
      <xdr:spPr>
        <a:xfrm>
          <a:off x="6469380" y="182880"/>
          <a:ext cx="230124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1"/>
  <sheetViews>
    <sheetView showGridLines="0" tabSelected="1" view="pageBreakPreview" zoomScale="120" zoomScaleNormal="100" zoomScaleSheetLayoutView="120" workbookViewId="0">
      <selection activeCell="B25" sqref="B25"/>
    </sheetView>
  </sheetViews>
  <sheetFormatPr baseColWidth="10" defaultColWidth="12.5546875" defaultRowHeight="15" customHeight="1" x14ac:dyDescent="0.25"/>
  <cols>
    <col min="1" max="1" width="1.88671875" customWidth="1"/>
    <col min="2" max="2" width="13.109375" customWidth="1"/>
    <col min="3" max="3" width="24.5546875" style="41" customWidth="1"/>
    <col min="4" max="4" width="34.6640625" customWidth="1"/>
    <col min="5" max="5" width="16.6640625" bestFit="1" customWidth="1"/>
    <col min="6" max="6" width="13.109375" customWidth="1"/>
    <col min="7" max="7" width="12.109375" customWidth="1"/>
    <col min="8" max="8" width="18.33203125" customWidth="1"/>
    <col min="9" max="9" width="16.88671875" customWidth="1"/>
    <col min="10" max="10" width="16.5546875" customWidth="1"/>
    <col min="11" max="11" width="1.5546875" customWidth="1"/>
    <col min="12" max="15" width="11.44140625" customWidth="1"/>
    <col min="16" max="27" width="10.5546875" customWidth="1"/>
  </cols>
  <sheetData>
    <row r="1" spans="1:27" ht="7.5" customHeight="1" x14ac:dyDescent="0.25">
      <c r="A1" s="1"/>
      <c r="B1" s="2"/>
      <c r="C1" s="3"/>
      <c r="D1" s="3"/>
      <c r="E1" s="3"/>
      <c r="F1" s="4"/>
      <c r="G1" s="4"/>
      <c r="H1" s="4"/>
      <c r="I1" s="4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48" customHeight="1" x14ac:dyDescent="0.25">
      <c r="A2" s="7"/>
      <c r="B2" s="132" t="s">
        <v>38</v>
      </c>
      <c r="C2" s="133"/>
      <c r="D2" s="134"/>
      <c r="E2" s="134"/>
      <c r="F2" s="121"/>
      <c r="G2" s="135"/>
      <c r="H2" s="134"/>
      <c r="I2" s="134"/>
      <c r="J2" s="121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2.75" customHeight="1" x14ac:dyDescent="0.25">
      <c r="A3" s="9"/>
      <c r="B3" s="9"/>
      <c r="C3" s="69"/>
      <c r="D3" s="10"/>
      <c r="E3" s="10"/>
      <c r="F3" s="10"/>
      <c r="G3" s="10"/>
      <c r="H3" s="10"/>
      <c r="I3" s="10"/>
      <c r="J3" s="10"/>
      <c r="K3" s="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2.75" customHeight="1" x14ac:dyDescent="0.25">
      <c r="A4" s="7"/>
      <c r="B4" s="7"/>
      <c r="C4" s="68"/>
      <c r="D4" s="6"/>
      <c r="E4" s="6"/>
      <c r="F4" s="6"/>
      <c r="G4" s="6"/>
      <c r="H4" s="6"/>
      <c r="I4" s="6"/>
      <c r="J4" s="6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20.25" customHeight="1" x14ac:dyDescent="0.25">
      <c r="A5" s="7"/>
      <c r="B5" s="136" t="s">
        <v>0</v>
      </c>
      <c r="C5" s="137"/>
      <c r="D5" s="138"/>
      <c r="E5" s="44"/>
      <c r="F5" s="45"/>
      <c r="G5" s="45"/>
      <c r="H5" s="42"/>
      <c r="I5" s="42"/>
      <c r="J5" s="42"/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2.75" customHeight="1" x14ac:dyDescent="0.25">
      <c r="A6" s="7"/>
      <c r="B6" s="12"/>
      <c r="C6" s="42"/>
      <c r="D6" s="42"/>
      <c r="E6" s="42"/>
      <c r="F6" s="42"/>
      <c r="G6" s="42"/>
      <c r="H6" s="42"/>
      <c r="I6" s="42"/>
      <c r="J6" s="42"/>
      <c r="K6" s="8"/>
      <c r="L6" s="6"/>
      <c r="M6" s="6"/>
      <c r="N6" s="6"/>
      <c r="O6" s="13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5" customHeight="1" x14ac:dyDescent="0.25">
      <c r="A7" s="7"/>
      <c r="B7" s="51"/>
      <c r="C7" s="70"/>
      <c r="D7" s="104" t="s">
        <v>7</v>
      </c>
      <c r="E7" s="104"/>
      <c r="F7" s="26">
        <f>SUM(E25:E45)</f>
        <v>0</v>
      </c>
      <c r="G7" s="50"/>
      <c r="H7" s="50"/>
      <c r="I7" s="50"/>
      <c r="J7" s="50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s="41" customFormat="1" ht="13.5" customHeight="1" x14ac:dyDescent="0.25">
      <c r="A8" s="7"/>
      <c r="B8" s="51"/>
      <c r="C8" s="70"/>
      <c r="D8" s="27" t="s">
        <v>8</v>
      </c>
      <c r="E8" s="56"/>
      <c r="F8" s="28">
        <v>0</v>
      </c>
      <c r="G8" s="50"/>
      <c r="H8" s="50"/>
      <c r="I8" s="50"/>
      <c r="J8" s="50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s="41" customFormat="1" ht="13.5" customHeight="1" x14ac:dyDescent="0.25">
      <c r="A9" s="7"/>
      <c r="B9" s="51"/>
      <c r="C9" s="70"/>
      <c r="D9" s="27" t="s">
        <v>9</v>
      </c>
      <c r="E9" s="57" t="s">
        <v>27</v>
      </c>
      <c r="F9" s="26">
        <f>F8-F7</f>
        <v>0</v>
      </c>
      <c r="G9" s="50"/>
      <c r="H9" s="50"/>
      <c r="I9" s="50"/>
      <c r="J9" s="50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2.75" customHeight="1" x14ac:dyDescent="0.25">
      <c r="A10" s="7"/>
      <c r="B10" s="12"/>
      <c r="C10" s="42"/>
      <c r="D10" s="54"/>
      <c r="E10" s="58"/>
      <c r="F10" s="55"/>
      <c r="G10" s="43"/>
      <c r="H10" s="43"/>
      <c r="I10" s="43"/>
      <c r="J10" s="43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2.75" customHeight="1" x14ac:dyDescent="0.25">
      <c r="A11" s="7"/>
      <c r="B11" s="139" t="s">
        <v>1</v>
      </c>
      <c r="C11" s="140"/>
      <c r="D11" s="140"/>
      <c r="E11" s="140"/>
      <c r="F11" s="140"/>
      <c r="G11" s="140"/>
      <c r="H11" s="140"/>
      <c r="I11" s="140"/>
      <c r="J11" s="141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7.5" customHeight="1" x14ac:dyDescent="0.25">
      <c r="A12" s="7"/>
      <c r="B12" s="15"/>
      <c r="C12" s="67"/>
      <c r="D12" s="16"/>
      <c r="E12" s="16"/>
      <c r="F12" s="16"/>
      <c r="G12" s="16"/>
      <c r="H12" s="16"/>
      <c r="I12" s="16"/>
      <c r="J12" s="16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8" customHeight="1" x14ac:dyDescent="0.25">
      <c r="A13" s="7"/>
      <c r="B13" s="9" t="s">
        <v>2</v>
      </c>
      <c r="C13" s="143"/>
      <c r="D13" s="143"/>
      <c r="E13" s="143"/>
      <c r="F13" s="49"/>
      <c r="G13" s="142" t="s">
        <v>28</v>
      </c>
      <c r="H13" s="142"/>
      <c r="I13" s="142"/>
      <c r="J13" s="142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6" customHeight="1" x14ac:dyDescent="0.25">
      <c r="A14" s="7"/>
      <c r="B14" s="9"/>
      <c r="C14" s="69"/>
      <c r="D14" s="11"/>
      <c r="E14" s="11"/>
      <c r="F14" s="46"/>
      <c r="G14" s="157"/>
      <c r="H14" s="157"/>
      <c r="I14" s="157"/>
      <c r="J14" s="157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8" customHeight="1" x14ac:dyDescent="0.25">
      <c r="A15" s="7"/>
      <c r="B15" s="9" t="s">
        <v>3</v>
      </c>
      <c r="C15" s="143"/>
      <c r="D15" s="143"/>
      <c r="E15" s="143"/>
      <c r="F15" s="47"/>
      <c r="G15" s="148"/>
      <c r="H15" s="149"/>
      <c r="I15" s="149"/>
      <c r="J15" s="150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7.5" customHeight="1" x14ac:dyDescent="0.25">
      <c r="A16" s="7"/>
      <c r="B16" s="9"/>
      <c r="C16" s="69"/>
      <c r="D16" s="11"/>
      <c r="E16" s="11"/>
      <c r="F16" s="47"/>
      <c r="G16" s="151"/>
      <c r="H16" s="152"/>
      <c r="I16" s="152"/>
      <c r="J16" s="153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8" customHeight="1" x14ac:dyDescent="0.25">
      <c r="A17" s="7"/>
      <c r="B17" s="9" t="s">
        <v>4</v>
      </c>
      <c r="C17" s="143"/>
      <c r="D17" s="143"/>
      <c r="E17" s="143"/>
      <c r="F17" s="47"/>
      <c r="G17" s="151"/>
      <c r="H17" s="152"/>
      <c r="I17" s="152"/>
      <c r="J17" s="153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7.5" customHeight="1" x14ac:dyDescent="0.25">
      <c r="A18" s="7"/>
      <c r="B18" s="9"/>
      <c r="C18" s="69"/>
      <c r="D18" s="11"/>
      <c r="E18" s="11"/>
      <c r="F18" s="47"/>
      <c r="G18" s="151"/>
      <c r="H18" s="152"/>
      <c r="I18" s="152"/>
      <c r="J18" s="153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7" ht="18" customHeight="1" x14ac:dyDescent="0.25">
      <c r="A19" s="7"/>
      <c r="B19" s="19" t="s">
        <v>5</v>
      </c>
      <c r="C19" s="143"/>
      <c r="D19" s="143"/>
      <c r="E19" s="143"/>
      <c r="F19" s="47"/>
      <c r="G19" s="154"/>
      <c r="H19" s="155"/>
      <c r="I19" s="155"/>
      <c r="J19" s="156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7" ht="18" customHeight="1" x14ac:dyDescent="0.25">
      <c r="A20" s="7"/>
      <c r="B20" s="9"/>
      <c r="C20" s="69"/>
      <c r="D20" s="147"/>
      <c r="E20" s="147"/>
      <c r="F20" s="147"/>
      <c r="G20" s="11"/>
      <c r="H20" s="11"/>
      <c r="I20" s="20"/>
      <c r="J20" s="21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7.5" customHeight="1" x14ac:dyDescent="0.25">
      <c r="A21" s="7"/>
      <c r="B21" s="22"/>
      <c r="C21" s="14"/>
      <c r="D21" s="14"/>
      <c r="E21" s="14"/>
      <c r="F21" s="14"/>
      <c r="G21" s="14"/>
      <c r="H21" s="14"/>
      <c r="I21" s="14"/>
      <c r="J21" s="14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2.75" customHeight="1" thickBot="1" x14ac:dyDescent="0.3">
      <c r="A22" s="7"/>
      <c r="B22" s="144"/>
      <c r="C22" s="145"/>
      <c r="D22" s="145"/>
      <c r="E22" s="145"/>
      <c r="F22" s="145"/>
      <c r="G22" s="145"/>
      <c r="H22" s="145"/>
      <c r="I22" s="145"/>
      <c r="J22" s="146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.75" customHeight="1" x14ac:dyDescent="0.25">
      <c r="A23" s="7"/>
      <c r="B23" s="128" t="s">
        <v>30</v>
      </c>
      <c r="C23" s="130" t="s">
        <v>39</v>
      </c>
      <c r="D23" s="130" t="s">
        <v>31</v>
      </c>
      <c r="E23" s="122" t="s">
        <v>32</v>
      </c>
      <c r="F23" s="113" t="s">
        <v>6</v>
      </c>
      <c r="G23" s="115" t="s">
        <v>33</v>
      </c>
      <c r="H23" s="116" t="s">
        <v>34</v>
      </c>
      <c r="I23" s="117"/>
      <c r="J23" s="111" t="s">
        <v>35</v>
      </c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.75" customHeight="1" thickBot="1" x14ac:dyDescent="0.3">
      <c r="A24" s="7"/>
      <c r="B24" s="129"/>
      <c r="C24" s="131"/>
      <c r="D24" s="131"/>
      <c r="E24" s="123"/>
      <c r="F24" s="114"/>
      <c r="G24" s="159"/>
      <c r="H24" s="118"/>
      <c r="I24" s="119"/>
      <c r="J24" s="112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5.6" x14ac:dyDescent="0.3">
      <c r="A25" s="7"/>
      <c r="B25" s="59"/>
      <c r="C25" s="59"/>
      <c r="D25" s="23"/>
      <c r="E25" s="64"/>
      <c r="F25" s="48"/>
      <c r="G25" s="158"/>
      <c r="H25" s="124"/>
      <c r="I25" s="125"/>
      <c r="J25" s="63" t="str">
        <f>IFERROR(CONCATENATE(VLOOKUP(C25,Hoja1!$B$4:$C$78,2,FALSE),VLOOKUP(D25,Hoja1!$D$4:$E$78,2,FALSE)),"---")</f>
        <v>---</v>
      </c>
      <c r="K25" s="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.6" x14ac:dyDescent="0.3">
      <c r="A26" s="7"/>
      <c r="B26" s="59"/>
      <c r="C26" s="59"/>
      <c r="D26" s="23"/>
      <c r="E26" s="64"/>
      <c r="F26" s="48"/>
      <c r="G26" s="62"/>
      <c r="H26" s="126"/>
      <c r="I26" s="127"/>
      <c r="J26" s="63" t="str">
        <f>IFERROR(CONCATENATE(VLOOKUP(C26,Hoja1!$B$4:$C$78,2,FALSE),VLOOKUP(D26,Hoja1!$D$4:$E$78,2,FALSE)),"---")</f>
        <v>---</v>
      </c>
      <c r="K26" s="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.6" x14ac:dyDescent="0.3">
      <c r="A27" s="7"/>
      <c r="B27" s="59"/>
      <c r="C27" s="59"/>
      <c r="D27" s="23"/>
      <c r="E27" s="64"/>
      <c r="F27" s="48"/>
      <c r="G27" s="62"/>
      <c r="H27" s="105"/>
      <c r="I27" s="121"/>
      <c r="J27" s="63" t="str">
        <f>IFERROR(CONCATENATE(VLOOKUP(C27,Hoja1!$B$4:$C$78,2,FALSE),VLOOKUP(D27,Hoja1!$D$4:$E$78,2,FALSE)),"---")</f>
        <v>---</v>
      </c>
      <c r="K27" s="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5.6" x14ac:dyDescent="0.3">
      <c r="A28" s="7"/>
      <c r="B28" s="59"/>
      <c r="C28" s="59"/>
      <c r="D28" s="23"/>
      <c r="E28" s="64"/>
      <c r="F28" s="48"/>
      <c r="G28" s="62"/>
      <c r="H28" s="105"/>
      <c r="I28" s="106"/>
      <c r="J28" s="63" t="str">
        <f>IFERROR(CONCATENATE(VLOOKUP(C28,Hoja1!$B$4:$C$78,2,FALSE),VLOOKUP(D28,Hoja1!$D$4:$E$78,2,FALSE)),"---")</f>
        <v>---</v>
      </c>
      <c r="K28" s="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.6" x14ac:dyDescent="0.3">
      <c r="A29" s="7"/>
      <c r="B29" s="59"/>
      <c r="C29" s="59"/>
      <c r="D29" s="23"/>
      <c r="E29" s="64"/>
      <c r="F29" s="48"/>
      <c r="G29" s="62"/>
      <c r="H29" s="105"/>
      <c r="I29" s="106"/>
      <c r="J29" s="63" t="str">
        <f>IFERROR(CONCATENATE(VLOOKUP(C29,Hoja1!$B$4:$C$78,2,FALSE),VLOOKUP(D29,Hoja1!$D$4:$E$78,2,FALSE)),"---")</f>
        <v>---</v>
      </c>
      <c r="K29" s="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5.6" x14ac:dyDescent="0.3">
      <c r="A30" s="7"/>
      <c r="B30" s="59"/>
      <c r="C30" s="59"/>
      <c r="D30" s="23"/>
      <c r="E30" s="64"/>
      <c r="F30" s="48"/>
      <c r="G30" s="62"/>
      <c r="H30" s="105"/>
      <c r="I30" s="106"/>
      <c r="J30" s="63" t="str">
        <f>IFERROR(CONCATENATE(VLOOKUP(C30,Hoja1!$B$4:$C$78,2,FALSE),VLOOKUP(D30,Hoja1!$D$4:$E$78,2,FALSE)),"---")</f>
        <v>---</v>
      </c>
      <c r="K30" s="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5.6" x14ac:dyDescent="0.3">
      <c r="A31" s="7"/>
      <c r="B31" s="59"/>
      <c r="C31" s="59"/>
      <c r="D31" s="23"/>
      <c r="E31" s="64"/>
      <c r="F31" s="48"/>
      <c r="G31" s="62"/>
      <c r="H31" s="105"/>
      <c r="I31" s="106"/>
      <c r="J31" s="63" t="str">
        <f>IFERROR(CONCATENATE(VLOOKUP(C31,Hoja1!$B$4:$C$78,2,FALSE),VLOOKUP(D31,Hoja1!$D$4:$E$78,2,FALSE)),"---")</f>
        <v>---</v>
      </c>
      <c r="K31" s="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s="41" customFormat="1" ht="15.6" x14ac:dyDescent="0.3">
      <c r="A32" s="7"/>
      <c r="B32" s="59"/>
      <c r="C32" s="59"/>
      <c r="D32" s="23"/>
      <c r="E32" s="64"/>
      <c r="F32" s="48"/>
      <c r="G32" s="62"/>
      <c r="H32" s="87"/>
      <c r="I32" s="88"/>
      <c r="J32" s="63" t="str">
        <f>IFERROR(CONCATENATE(VLOOKUP(C32,Hoja1!$B$4:$C$78,2,FALSE),VLOOKUP(D32,Hoja1!$D$4:$E$78,2,FALSE)),"---")</f>
        <v>---</v>
      </c>
      <c r="K32" s="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s="41" customFormat="1" ht="15.6" x14ac:dyDescent="0.3">
      <c r="A33" s="7"/>
      <c r="B33" s="59"/>
      <c r="C33" s="59"/>
      <c r="D33" s="23"/>
      <c r="E33" s="64"/>
      <c r="F33" s="48"/>
      <c r="G33" s="62"/>
      <c r="H33" s="87"/>
      <c r="I33" s="88"/>
      <c r="J33" s="63" t="str">
        <f>IFERROR(CONCATENATE(VLOOKUP(C33,Hoja1!$B$4:$C$78,2,FALSE),VLOOKUP(D33,Hoja1!$D$4:$E$78,2,FALSE)),"---")</f>
        <v>---</v>
      </c>
      <c r="K33" s="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s="41" customFormat="1" ht="15.6" x14ac:dyDescent="0.3">
      <c r="A34" s="7"/>
      <c r="B34" s="59"/>
      <c r="C34" s="59"/>
      <c r="D34" s="23"/>
      <c r="E34" s="64"/>
      <c r="F34" s="48"/>
      <c r="G34" s="62"/>
      <c r="H34" s="87"/>
      <c r="I34" s="88"/>
      <c r="J34" s="63" t="str">
        <f>IFERROR(CONCATENATE(VLOOKUP(C34,Hoja1!$B$4:$C$78,2,FALSE),VLOOKUP(D34,Hoja1!$D$4:$E$78,2,FALSE)),"---")</f>
        <v>---</v>
      </c>
      <c r="K34" s="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5.6" x14ac:dyDescent="0.3">
      <c r="A35" s="7"/>
      <c r="B35" s="59"/>
      <c r="C35" s="59"/>
      <c r="D35" s="23"/>
      <c r="E35" s="64"/>
      <c r="F35" s="48"/>
      <c r="G35" s="62"/>
      <c r="H35" s="60"/>
      <c r="I35" s="24"/>
      <c r="J35" s="63" t="str">
        <f>IFERROR(CONCATENATE(VLOOKUP(C35,Hoja1!$B$4:$C$78,2,FALSE),VLOOKUP(D35,Hoja1!$D$4:$E$78,2,FALSE)),"---")</f>
        <v>---</v>
      </c>
      <c r="K35" s="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5.6" x14ac:dyDescent="0.3">
      <c r="A36" s="7"/>
      <c r="B36" s="59"/>
      <c r="C36" s="59"/>
      <c r="D36" s="23"/>
      <c r="E36" s="64"/>
      <c r="F36" s="48"/>
      <c r="G36" s="62"/>
      <c r="H36" s="61"/>
      <c r="I36" s="24"/>
      <c r="J36" s="63" t="str">
        <f>IFERROR(CONCATENATE(VLOOKUP(C36,Hoja1!$B$4:$C$78,2,FALSE),VLOOKUP(D36,Hoja1!$D$4:$E$78,2,FALSE)),"---")</f>
        <v>---</v>
      </c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5.6" x14ac:dyDescent="0.3">
      <c r="A37" s="7"/>
      <c r="B37" s="59"/>
      <c r="C37" s="59"/>
      <c r="D37" s="23"/>
      <c r="E37" s="64"/>
      <c r="F37" s="48"/>
      <c r="G37" s="62"/>
      <c r="H37" s="61"/>
      <c r="I37" s="24"/>
      <c r="J37" s="63" t="str">
        <f>IFERROR(CONCATENATE(VLOOKUP(C37,Hoja1!$B$4:$C$78,2,FALSE),VLOOKUP(D37,Hoja1!$D$4:$E$78,2,FALSE)),"---")</f>
        <v>---</v>
      </c>
      <c r="K37" s="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8" customHeight="1" x14ac:dyDescent="0.3">
      <c r="A38" s="7"/>
      <c r="B38" s="59"/>
      <c r="C38" s="59"/>
      <c r="D38" s="23"/>
      <c r="E38" s="64"/>
      <c r="F38" s="48"/>
      <c r="G38" s="62"/>
      <c r="H38" s="61"/>
      <c r="I38" s="24"/>
      <c r="J38" s="63" t="str">
        <f>IFERROR(CONCATENATE(VLOOKUP(C38,Hoja1!$B$4:$C$78,2,FALSE),VLOOKUP(D38,Hoja1!$D$4:$E$78,2,FALSE)),"---")</f>
        <v>---</v>
      </c>
      <c r="K38" s="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8" customHeight="1" x14ac:dyDescent="0.3">
      <c r="A39" s="7"/>
      <c r="B39" s="59"/>
      <c r="C39" s="59"/>
      <c r="D39" s="23"/>
      <c r="E39" s="64"/>
      <c r="F39" s="48"/>
      <c r="G39" s="62"/>
      <c r="H39" s="61"/>
      <c r="I39" s="24"/>
      <c r="J39" s="63" t="str">
        <f>IFERROR(CONCATENATE(VLOOKUP(C39,Hoja1!$B$4:$C$78,2,FALSE),VLOOKUP(D39,Hoja1!$D$4:$E$78,2,FALSE)),"---")</f>
        <v>---</v>
      </c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8" customHeight="1" x14ac:dyDescent="0.3">
      <c r="A40" s="7"/>
      <c r="B40" s="59"/>
      <c r="C40" s="59"/>
      <c r="D40" s="23"/>
      <c r="E40" s="64"/>
      <c r="F40" s="48"/>
      <c r="G40" s="62"/>
      <c r="H40" s="61"/>
      <c r="I40" s="24"/>
      <c r="J40" s="63" t="str">
        <f>IFERROR(CONCATENATE(VLOOKUP(C40,Hoja1!$B$4:$C$78,2,FALSE),VLOOKUP(D40,Hoja1!$D$4:$E$78,2,FALSE)),"---")</f>
        <v>---</v>
      </c>
      <c r="K40" s="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8" customHeight="1" x14ac:dyDescent="0.3">
      <c r="A41" s="7"/>
      <c r="B41" s="59"/>
      <c r="C41" s="59"/>
      <c r="D41" s="23"/>
      <c r="E41" s="64"/>
      <c r="F41" s="48"/>
      <c r="G41" s="62"/>
      <c r="H41" s="61"/>
      <c r="I41" s="24"/>
      <c r="J41" s="63" t="str">
        <f>IFERROR(CONCATENATE(VLOOKUP(C41,Hoja1!$B$4:$C$78,2,FALSE),VLOOKUP(D41,Hoja1!$D$4:$E$78,2,FALSE)),"---")</f>
        <v>---</v>
      </c>
      <c r="K41" s="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8" customHeight="1" x14ac:dyDescent="0.3">
      <c r="A42" s="7"/>
      <c r="B42" s="59"/>
      <c r="C42" s="59"/>
      <c r="D42" s="23"/>
      <c r="E42" s="64"/>
      <c r="F42" s="48"/>
      <c r="G42" s="62"/>
      <c r="H42" s="61"/>
      <c r="I42" s="24"/>
      <c r="J42" s="63" t="str">
        <f>IFERROR(CONCATENATE(VLOOKUP(C42,Hoja1!$B$4:$C$78,2,FALSE),VLOOKUP(D42,Hoja1!$D$4:$E$78,2,FALSE)),"---")</f>
        <v>---</v>
      </c>
      <c r="K42" s="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8" customHeight="1" x14ac:dyDescent="0.3">
      <c r="A43" s="7"/>
      <c r="B43" s="59"/>
      <c r="C43" s="59"/>
      <c r="D43" s="23"/>
      <c r="E43" s="64"/>
      <c r="F43" s="48"/>
      <c r="G43" s="62"/>
      <c r="H43" s="61"/>
      <c r="I43" s="24"/>
      <c r="J43" s="63" t="str">
        <f>IFERROR(CONCATENATE(VLOOKUP(C43,Hoja1!$B$4:$C$78,2,FALSE),VLOOKUP(D43,Hoja1!$D$4:$E$78,2,FALSE)),"---")</f>
        <v>---</v>
      </c>
      <c r="K43" s="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8" customHeight="1" x14ac:dyDescent="0.3">
      <c r="A44" s="7"/>
      <c r="B44" s="59"/>
      <c r="C44" s="59"/>
      <c r="D44" s="23"/>
      <c r="E44" s="64"/>
      <c r="F44" s="48"/>
      <c r="G44" s="62"/>
      <c r="H44" s="61"/>
      <c r="I44" s="24"/>
      <c r="J44" s="63" t="str">
        <f>IFERROR(CONCATENATE(VLOOKUP(C44,Hoja1!$B$4:$C$78,2,FALSE),VLOOKUP(D44,Hoja1!$D$4:$E$78,2,FALSE)),"---")</f>
        <v>---</v>
      </c>
      <c r="K44" s="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8" customHeight="1" x14ac:dyDescent="0.3">
      <c r="A45" s="7"/>
      <c r="B45" s="59"/>
      <c r="C45" s="59"/>
      <c r="D45" s="23"/>
      <c r="E45" s="64"/>
      <c r="F45" s="48"/>
      <c r="G45" s="62"/>
      <c r="H45" s="107"/>
      <c r="I45" s="108"/>
      <c r="J45" s="63" t="str">
        <f>IFERROR(CONCATENATE(VLOOKUP(C45,Hoja1!$B$4:$C$78,2,FALSE),VLOOKUP(D45,Hoja1!$D$4:$E$78,2,FALSE)),"---")</f>
        <v>---</v>
      </c>
      <c r="K45" s="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5.25" customHeight="1" x14ac:dyDescent="0.25">
      <c r="A46" s="7"/>
      <c r="B46" s="12"/>
      <c r="C46" s="42"/>
      <c r="D46" s="11"/>
      <c r="E46" s="11"/>
      <c r="F46" s="25"/>
      <c r="G46" s="46"/>
      <c r="H46" s="109"/>
      <c r="I46" s="109"/>
      <c r="J46" s="18"/>
      <c r="K46" s="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2.75" customHeight="1" x14ac:dyDescent="0.25">
      <c r="A47" s="7"/>
      <c r="B47" s="12"/>
      <c r="C47" s="42"/>
      <c r="D47" s="11"/>
      <c r="E47" s="11"/>
      <c r="F47" s="11"/>
      <c r="G47" s="110"/>
      <c r="H47" s="110"/>
      <c r="I47" s="110"/>
      <c r="J47" s="52"/>
      <c r="K47" s="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6.75" customHeight="1" x14ac:dyDescent="0.25">
      <c r="A48" s="7"/>
      <c r="B48" s="12"/>
      <c r="C48" s="42"/>
      <c r="D48" s="11"/>
      <c r="E48" s="11"/>
      <c r="F48" s="11"/>
      <c r="G48" s="53"/>
      <c r="H48" s="120"/>
      <c r="I48" s="120"/>
      <c r="J48" s="53"/>
      <c r="K48" s="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5" customHeight="1" x14ac:dyDescent="0.25">
      <c r="A49" s="7"/>
      <c r="B49" s="29"/>
      <c r="C49" s="65"/>
      <c r="D49" s="18"/>
      <c r="E49" s="18"/>
      <c r="F49" s="18"/>
      <c r="G49" s="18"/>
      <c r="H49" s="101"/>
      <c r="I49" s="101"/>
      <c r="J49" s="101"/>
      <c r="K49" s="8"/>
      <c r="L49" s="6"/>
      <c r="M49" s="6"/>
      <c r="N49" s="30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7.25" customHeight="1" x14ac:dyDescent="0.25">
      <c r="A50" s="7"/>
      <c r="B50" s="31"/>
      <c r="C50" s="71"/>
      <c r="D50" s="102" t="s">
        <v>29</v>
      </c>
      <c r="E50" s="103"/>
      <c r="F50" s="32"/>
      <c r="G50" s="11"/>
      <c r="H50" s="104"/>
      <c r="I50" s="104"/>
      <c r="J50" s="104"/>
      <c r="K50" s="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21" customHeight="1" x14ac:dyDescent="0.25">
      <c r="A51" s="7"/>
      <c r="B51" s="12"/>
      <c r="C51" s="42"/>
      <c r="D51" s="11"/>
      <c r="E51" s="11"/>
      <c r="F51" s="11"/>
      <c r="G51" s="11"/>
      <c r="H51" s="11"/>
      <c r="I51" s="11"/>
      <c r="J51" s="11"/>
      <c r="K51" s="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1.25" customHeight="1" x14ac:dyDescent="0.25">
      <c r="A52" s="7"/>
      <c r="B52" s="89" t="s">
        <v>10</v>
      </c>
      <c r="C52" s="90"/>
      <c r="D52" s="90"/>
      <c r="E52" s="90"/>
      <c r="F52" s="90"/>
      <c r="G52" s="90"/>
      <c r="H52" s="90"/>
      <c r="I52" s="90"/>
      <c r="J52" s="91"/>
      <c r="K52" s="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3.75" customHeight="1" x14ac:dyDescent="0.25">
      <c r="A53" s="7"/>
      <c r="B53" s="15"/>
      <c r="C53" s="67"/>
      <c r="D53" s="16"/>
      <c r="E53" s="16"/>
      <c r="F53" s="16"/>
      <c r="G53" s="16"/>
      <c r="H53" s="16"/>
      <c r="I53" s="16"/>
      <c r="J53" s="33"/>
      <c r="K53" s="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2.75" customHeight="1" x14ac:dyDescent="0.25">
      <c r="A54" s="7"/>
      <c r="B54" s="92"/>
      <c r="C54" s="93"/>
      <c r="D54" s="93"/>
      <c r="E54" s="93"/>
      <c r="F54" s="93"/>
      <c r="G54" s="93"/>
      <c r="H54" s="93"/>
      <c r="I54" s="93"/>
      <c r="J54" s="94"/>
      <c r="K54" s="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5.75" customHeight="1" x14ac:dyDescent="0.25">
      <c r="A55" s="7"/>
      <c r="B55" s="34"/>
      <c r="C55" s="66"/>
      <c r="D55" s="17"/>
      <c r="E55" s="17"/>
      <c r="F55" s="17"/>
      <c r="G55" s="17"/>
      <c r="H55" s="17"/>
      <c r="I55" s="17"/>
      <c r="J55" s="35"/>
      <c r="K55" s="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8.75" customHeight="1" x14ac:dyDescent="0.25">
      <c r="A56" s="7"/>
      <c r="B56" s="95"/>
      <c r="C56" s="96"/>
      <c r="D56" s="96"/>
      <c r="E56" s="96"/>
      <c r="F56" s="96"/>
      <c r="G56" s="96"/>
      <c r="H56" s="96"/>
      <c r="I56" s="96"/>
      <c r="J56" s="97"/>
      <c r="K56" s="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9.5" customHeight="1" x14ac:dyDescent="0.25">
      <c r="A57" s="7"/>
      <c r="B57" s="95"/>
      <c r="C57" s="96"/>
      <c r="D57" s="96"/>
      <c r="E57" s="96"/>
      <c r="F57" s="96"/>
      <c r="G57" s="96"/>
      <c r="H57" s="96"/>
      <c r="I57" s="96"/>
      <c r="J57" s="97"/>
      <c r="K57" s="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8" customHeight="1" x14ac:dyDescent="0.25">
      <c r="A58" s="7"/>
      <c r="B58" s="98"/>
      <c r="C58" s="99"/>
      <c r="D58" s="99"/>
      <c r="E58" s="99"/>
      <c r="F58" s="99"/>
      <c r="G58" s="99"/>
      <c r="H58" s="99"/>
      <c r="I58" s="99"/>
      <c r="J58" s="100"/>
      <c r="K58" s="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7.25" customHeight="1" thickBot="1" x14ac:dyDescent="0.3">
      <c r="A59" s="36"/>
      <c r="B59" s="36"/>
      <c r="C59" s="37"/>
      <c r="D59" s="37"/>
      <c r="E59" s="37"/>
      <c r="F59" s="37"/>
      <c r="G59" s="37"/>
      <c r="H59" s="37"/>
      <c r="I59" s="37"/>
      <c r="J59" s="38"/>
      <c r="K59" s="3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2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2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2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2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2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2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2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2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2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2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2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2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2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2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2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2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2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2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2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2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2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2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2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2.75" hidden="1" customHeight="1" x14ac:dyDescent="0.25">
      <c r="A83" s="6"/>
      <c r="B83" s="40" t="s">
        <v>11</v>
      </c>
      <c r="C83" s="40"/>
      <c r="D83" s="40"/>
      <c r="E83" s="40"/>
      <c r="F83" s="40" t="s">
        <v>12</v>
      </c>
      <c r="G83" s="6"/>
      <c r="H83" s="40">
        <v>1</v>
      </c>
      <c r="I83" s="40">
        <v>2015</v>
      </c>
      <c r="J83" s="40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2.75" hidden="1" customHeight="1" x14ac:dyDescent="0.25">
      <c r="A84" s="6"/>
      <c r="B84" s="40" t="s">
        <v>13</v>
      </c>
      <c r="C84" s="40"/>
      <c r="D84" s="40"/>
      <c r="E84" s="40"/>
      <c r="F84" s="40" t="s">
        <v>14</v>
      </c>
      <c r="G84" s="6"/>
      <c r="H84" s="40">
        <v>2</v>
      </c>
      <c r="I84" s="40">
        <v>2016</v>
      </c>
      <c r="J84" s="40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2.75" hidden="1" customHeight="1" x14ac:dyDescent="0.25">
      <c r="A85" s="6"/>
      <c r="B85" s="40" t="s">
        <v>15</v>
      </c>
      <c r="C85" s="40"/>
      <c r="D85" s="40"/>
      <c r="E85" s="40"/>
      <c r="F85" s="40" t="s">
        <v>16</v>
      </c>
      <c r="G85" s="6"/>
      <c r="H85" s="40">
        <v>3</v>
      </c>
      <c r="I85" s="40">
        <v>2017</v>
      </c>
      <c r="J85" s="40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2.75" hidden="1" customHeight="1" x14ac:dyDescent="0.25">
      <c r="A86" s="6"/>
      <c r="B86" s="40" t="s">
        <v>17</v>
      </c>
      <c r="C86" s="40"/>
      <c r="D86" s="40"/>
      <c r="E86" s="40"/>
      <c r="F86" s="6"/>
      <c r="G86" s="6"/>
      <c r="H86" s="40">
        <v>4</v>
      </c>
      <c r="I86" s="40">
        <v>2018</v>
      </c>
      <c r="J86" s="40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2.75" hidden="1" customHeight="1" x14ac:dyDescent="0.25">
      <c r="A87" s="6"/>
      <c r="B87" s="40" t="s">
        <v>18</v>
      </c>
      <c r="C87" s="40"/>
      <c r="D87" s="40"/>
      <c r="E87" s="40"/>
      <c r="F87" s="6"/>
      <c r="G87" s="6"/>
      <c r="H87" s="40">
        <v>5</v>
      </c>
      <c r="I87" s="40">
        <v>2019</v>
      </c>
      <c r="J87" s="40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2.75" hidden="1" customHeight="1" x14ac:dyDescent="0.25">
      <c r="A88" s="6"/>
      <c r="B88" s="40" t="s">
        <v>19</v>
      </c>
      <c r="C88" s="40"/>
      <c r="D88" s="40"/>
      <c r="E88" s="40"/>
      <c r="F88" s="6"/>
      <c r="G88" s="6"/>
      <c r="H88" s="40">
        <v>6</v>
      </c>
      <c r="I88" s="40">
        <v>2020</v>
      </c>
      <c r="J88" s="40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2.75" hidden="1" customHeight="1" x14ac:dyDescent="0.25">
      <c r="A89" s="6"/>
      <c r="B89" s="40" t="s">
        <v>20</v>
      </c>
      <c r="C89" s="40"/>
      <c r="D89" s="40"/>
      <c r="E89" s="40"/>
      <c r="F89" s="6"/>
      <c r="G89" s="6"/>
      <c r="H89" s="40">
        <v>7</v>
      </c>
      <c r="I89" s="40">
        <v>2021</v>
      </c>
      <c r="J89" s="40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2.75" hidden="1" customHeight="1" x14ac:dyDescent="0.25">
      <c r="A90" s="6"/>
      <c r="B90" s="40" t="s">
        <v>21</v>
      </c>
      <c r="C90" s="40"/>
      <c r="D90" s="40"/>
      <c r="E90" s="40"/>
      <c r="F90" s="6"/>
      <c r="G90" s="6"/>
      <c r="H90" s="40">
        <v>8</v>
      </c>
      <c r="I90" s="40">
        <v>2022</v>
      </c>
      <c r="J90" s="40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2.75" hidden="1" customHeight="1" x14ac:dyDescent="0.25">
      <c r="A91" s="6"/>
      <c r="B91" s="40" t="s">
        <v>22</v>
      </c>
      <c r="C91" s="40"/>
      <c r="D91" s="40"/>
      <c r="E91" s="40"/>
      <c r="F91" s="6"/>
      <c r="G91" s="6"/>
      <c r="H91" s="40">
        <v>9</v>
      </c>
      <c r="I91" s="40">
        <v>2023</v>
      </c>
      <c r="J91" s="40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2.75" hidden="1" customHeight="1" x14ac:dyDescent="0.25">
      <c r="A92" s="6"/>
      <c r="B92" s="40" t="s">
        <v>23</v>
      </c>
      <c r="C92" s="40"/>
      <c r="D92" s="40"/>
      <c r="E92" s="40"/>
      <c r="F92" s="6"/>
      <c r="G92" s="6"/>
      <c r="H92" s="40">
        <v>10</v>
      </c>
      <c r="I92" s="40">
        <v>2024</v>
      </c>
      <c r="J92" s="40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2.75" hidden="1" customHeight="1" x14ac:dyDescent="0.25">
      <c r="A93" s="6"/>
      <c r="B93" s="40" t="s">
        <v>24</v>
      </c>
      <c r="C93" s="40"/>
      <c r="D93" s="40"/>
      <c r="E93" s="40"/>
      <c r="F93" s="6"/>
      <c r="G93" s="6"/>
      <c r="H93" s="40">
        <v>11</v>
      </c>
      <c r="I93" s="40">
        <v>2025</v>
      </c>
      <c r="J93" s="40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2.75" hidden="1" customHeight="1" x14ac:dyDescent="0.25">
      <c r="A94" s="6"/>
      <c r="B94" s="40" t="s">
        <v>25</v>
      </c>
      <c r="C94" s="40"/>
      <c r="D94" s="40"/>
      <c r="E94" s="40"/>
      <c r="F94" s="6"/>
      <c r="G94" s="6"/>
      <c r="H94" s="40">
        <v>12</v>
      </c>
      <c r="I94" s="40">
        <v>2026</v>
      </c>
      <c r="J94" s="40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2.75" hidden="1" customHeight="1" x14ac:dyDescent="0.25">
      <c r="A95" s="6"/>
      <c r="B95" s="6"/>
      <c r="C95" s="6"/>
      <c r="D95" s="6"/>
      <c r="E95" s="6"/>
      <c r="F95" s="6"/>
      <c r="G95" s="6"/>
      <c r="H95" s="40"/>
      <c r="I95" s="40">
        <v>2027</v>
      </c>
      <c r="J95" s="40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2.75" hidden="1" customHeight="1" x14ac:dyDescent="0.25">
      <c r="A96" s="6"/>
      <c r="B96" s="6"/>
      <c r="C96" s="6"/>
      <c r="D96" s="6"/>
      <c r="E96" s="6"/>
      <c r="F96" s="6"/>
      <c r="G96" s="6"/>
      <c r="H96" s="40"/>
      <c r="I96" s="40">
        <v>2028</v>
      </c>
      <c r="J96" s="40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2.75" hidden="1" customHeight="1" x14ac:dyDescent="0.25">
      <c r="A97" s="6"/>
      <c r="B97" s="6"/>
      <c r="C97" s="6"/>
      <c r="D97" s="6"/>
      <c r="E97" s="6"/>
      <c r="F97" s="6"/>
      <c r="G97" s="6"/>
      <c r="H97" s="40"/>
      <c r="I97" s="40">
        <v>2029</v>
      </c>
      <c r="J97" s="40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2.75" hidden="1" customHeight="1" x14ac:dyDescent="0.25">
      <c r="A98" s="6"/>
      <c r="B98" s="6" t="s">
        <v>26</v>
      </c>
      <c r="C98" s="6"/>
      <c r="D98" s="6"/>
      <c r="E98" s="6"/>
      <c r="F98" s="6"/>
      <c r="G98" s="6"/>
      <c r="H98" s="40"/>
      <c r="I98" s="40">
        <v>2030</v>
      </c>
      <c r="J98" s="40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2.75" hidden="1" customHeight="1" x14ac:dyDescent="0.25">
      <c r="A99" s="6"/>
      <c r="B99" s="6"/>
      <c r="C99" s="6"/>
      <c r="D99" s="6"/>
      <c r="E99" s="6"/>
      <c r="F99" s="6"/>
      <c r="G99" s="6"/>
      <c r="H99" s="40"/>
      <c r="I99" s="40">
        <v>2031</v>
      </c>
      <c r="J99" s="40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2.75" hidden="1" customHeight="1" x14ac:dyDescent="0.25">
      <c r="A100" s="6"/>
      <c r="B100" s="6"/>
      <c r="C100" s="6"/>
      <c r="D100" s="6"/>
      <c r="E100" s="6"/>
      <c r="F100" s="6"/>
      <c r="G100" s="6"/>
      <c r="H100" s="40"/>
      <c r="I100" s="40">
        <v>2032</v>
      </c>
      <c r="J100" s="40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2.75" hidden="1" customHeight="1" x14ac:dyDescent="0.25">
      <c r="A101" s="6"/>
      <c r="B101" s="6"/>
      <c r="C101" s="6"/>
      <c r="D101" s="6"/>
      <c r="E101" s="6"/>
      <c r="F101" s="6"/>
      <c r="G101" s="6"/>
      <c r="H101" s="40"/>
      <c r="I101" s="40">
        <v>2033</v>
      </c>
      <c r="J101" s="40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2.75" hidden="1" customHeight="1" x14ac:dyDescent="0.25">
      <c r="A102" s="6"/>
      <c r="B102" s="6"/>
      <c r="C102" s="6"/>
      <c r="D102" s="6"/>
      <c r="E102" s="6"/>
      <c r="F102" s="6"/>
      <c r="G102" s="6"/>
      <c r="H102" s="40"/>
      <c r="I102" s="40">
        <v>2034</v>
      </c>
      <c r="J102" s="40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2.75" hidden="1" customHeight="1" x14ac:dyDescent="0.25">
      <c r="A103" s="6"/>
      <c r="B103" s="6"/>
      <c r="C103" s="6"/>
      <c r="D103" s="6"/>
      <c r="E103" s="6"/>
      <c r="F103" s="6"/>
      <c r="G103" s="6"/>
      <c r="H103" s="40"/>
      <c r="I103" s="40">
        <v>2035</v>
      </c>
      <c r="J103" s="40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2.75" hidden="1" customHeight="1" x14ac:dyDescent="0.25">
      <c r="A104" s="6"/>
      <c r="B104" s="6"/>
      <c r="C104" s="6"/>
      <c r="D104" s="6"/>
      <c r="E104" s="6"/>
      <c r="F104" s="6"/>
      <c r="G104" s="6"/>
      <c r="H104" s="40"/>
      <c r="I104" s="40">
        <v>2036</v>
      </c>
      <c r="J104" s="40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2.75" hidden="1" customHeight="1" x14ac:dyDescent="0.25">
      <c r="A105" s="6"/>
      <c r="B105" s="6"/>
      <c r="C105" s="6"/>
      <c r="D105" s="6"/>
      <c r="E105" s="6"/>
      <c r="F105" s="6"/>
      <c r="G105" s="6"/>
      <c r="H105" s="40"/>
      <c r="I105" s="40">
        <v>2037</v>
      </c>
      <c r="J105" s="40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2.75" hidden="1" customHeight="1" x14ac:dyDescent="0.25">
      <c r="A106" s="6"/>
      <c r="B106" s="6"/>
      <c r="C106" s="6"/>
      <c r="D106" s="6"/>
      <c r="E106" s="6"/>
      <c r="F106" s="6"/>
      <c r="G106" s="6"/>
      <c r="H106" s="40"/>
      <c r="I106" s="40">
        <v>2038</v>
      </c>
      <c r="J106" s="40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2.75" hidden="1" customHeight="1" x14ac:dyDescent="0.25">
      <c r="A107" s="6"/>
      <c r="B107" s="6"/>
      <c r="C107" s="6"/>
      <c r="D107" s="6"/>
      <c r="E107" s="6"/>
      <c r="F107" s="6"/>
      <c r="G107" s="6"/>
      <c r="H107" s="40"/>
      <c r="I107" s="40">
        <v>2039</v>
      </c>
      <c r="J107" s="40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2.75" hidden="1" customHeight="1" x14ac:dyDescent="0.25">
      <c r="A108" s="6"/>
      <c r="B108" s="6"/>
      <c r="C108" s="6"/>
      <c r="D108" s="6"/>
      <c r="E108" s="6"/>
      <c r="F108" s="6"/>
      <c r="G108" s="6"/>
      <c r="H108" s="40"/>
      <c r="I108" s="40">
        <v>2040</v>
      </c>
      <c r="J108" s="40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2.75" hidden="1" customHeight="1" x14ac:dyDescent="0.25">
      <c r="A109" s="6"/>
      <c r="B109" s="6"/>
      <c r="C109" s="6"/>
      <c r="D109" s="6"/>
      <c r="E109" s="6"/>
      <c r="F109" s="6"/>
      <c r="G109" s="6"/>
      <c r="H109" s="40"/>
      <c r="I109" s="40">
        <v>2041</v>
      </c>
      <c r="J109" s="40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2.75" hidden="1" customHeight="1" x14ac:dyDescent="0.25">
      <c r="A110" s="6"/>
      <c r="B110" s="6"/>
      <c r="C110" s="6"/>
      <c r="D110" s="6"/>
      <c r="E110" s="6"/>
      <c r="F110" s="6"/>
      <c r="G110" s="6"/>
      <c r="H110" s="40"/>
      <c r="I110" s="40">
        <v>2042</v>
      </c>
      <c r="J110" s="40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2.75" hidden="1" customHeight="1" x14ac:dyDescent="0.25">
      <c r="A111" s="6"/>
      <c r="B111" s="6"/>
      <c r="C111" s="6"/>
      <c r="D111" s="6"/>
      <c r="E111" s="6"/>
      <c r="F111" s="6"/>
      <c r="G111" s="6"/>
      <c r="H111" s="40"/>
      <c r="I111" s="40">
        <v>2043</v>
      </c>
      <c r="J111" s="40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2.75" hidden="1" customHeight="1" x14ac:dyDescent="0.25">
      <c r="A112" s="6"/>
      <c r="B112" s="6"/>
      <c r="C112" s="6"/>
      <c r="D112" s="6"/>
      <c r="E112" s="6"/>
      <c r="F112" s="6"/>
      <c r="G112" s="6"/>
      <c r="H112" s="40"/>
      <c r="I112" s="40">
        <v>2044</v>
      </c>
      <c r="J112" s="40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2.75" hidden="1" customHeight="1" x14ac:dyDescent="0.25">
      <c r="A113" s="6"/>
      <c r="B113" s="6"/>
      <c r="C113" s="6"/>
      <c r="D113" s="6"/>
      <c r="E113" s="6"/>
      <c r="F113" s="6"/>
      <c r="G113" s="6"/>
      <c r="H113" s="40"/>
      <c r="I113" s="40">
        <v>2045</v>
      </c>
      <c r="J113" s="40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2.75" hidden="1" customHeight="1" x14ac:dyDescent="0.25">
      <c r="A114" s="6"/>
      <c r="B114" s="6"/>
      <c r="C114" s="6"/>
      <c r="D114" s="6"/>
      <c r="E114" s="6"/>
      <c r="F114" s="6"/>
      <c r="G114" s="6"/>
      <c r="H114" s="40"/>
      <c r="I114" s="40">
        <v>2046</v>
      </c>
      <c r="J114" s="40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2.75" hidden="1" customHeight="1" x14ac:dyDescent="0.25">
      <c r="A115" s="6"/>
      <c r="B115" s="6"/>
      <c r="C115" s="6"/>
      <c r="D115" s="6"/>
      <c r="E115" s="6"/>
      <c r="F115" s="6"/>
      <c r="G115" s="6"/>
      <c r="H115" s="40"/>
      <c r="I115" s="40">
        <v>2047</v>
      </c>
      <c r="J115" s="40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2.75" hidden="1" customHeight="1" x14ac:dyDescent="0.25">
      <c r="A116" s="6"/>
      <c r="B116" s="6"/>
      <c r="C116" s="6"/>
      <c r="D116" s="6"/>
      <c r="E116" s="6"/>
      <c r="F116" s="6"/>
      <c r="G116" s="6"/>
      <c r="H116" s="40"/>
      <c r="I116" s="40">
        <v>2048</v>
      </c>
      <c r="J116" s="40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2.75" hidden="1" customHeight="1" x14ac:dyDescent="0.25">
      <c r="A117" s="6"/>
      <c r="B117" s="6"/>
      <c r="C117" s="6"/>
      <c r="D117" s="6"/>
      <c r="E117" s="6"/>
      <c r="F117" s="6"/>
      <c r="G117" s="6"/>
      <c r="H117" s="40"/>
      <c r="I117" s="40">
        <v>2049</v>
      </c>
      <c r="J117" s="40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2.75" hidden="1" customHeight="1" x14ac:dyDescent="0.25">
      <c r="A118" s="6"/>
      <c r="B118" s="6"/>
      <c r="C118" s="6"/>
      <c r="D118" s="6"/>
      <c r="E118" s="6"/>
      <c r="F118" s="6"/>
      <c r="G118" s="6"/>
      <c r="H118" s="40"/>
      <c r="I118" s="40">
        <v>2050</v>
      </c>
      <c r="J118" s="40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2.75" hidden="1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.75" hidden="1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2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2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2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2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2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2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2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2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2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2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2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2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2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2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2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2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2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2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2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2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2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2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2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2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2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2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2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2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2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2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2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2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2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2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2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2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2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2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2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2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2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2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2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2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2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2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2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2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2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2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2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2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2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2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2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2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2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2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2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2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2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2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2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2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2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2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2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2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2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2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2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2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2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2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2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2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2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2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2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2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2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2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2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2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2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2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2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2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2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2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2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2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2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2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2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2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2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2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2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2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2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2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2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2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2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2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2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2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2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2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2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2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2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2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2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2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2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2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2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2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2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2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2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2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2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2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2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2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2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2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2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2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2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2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2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2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2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2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2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2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2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2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2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2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2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2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2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2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2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2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2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2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2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2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2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2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2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2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2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2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2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2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2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2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2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2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2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2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2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2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2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2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2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2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2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2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2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2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2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2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2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2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2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2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2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2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2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2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2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2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2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2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2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2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2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2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2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2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2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2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2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2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2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2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2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2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2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2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2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2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2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2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2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2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2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2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2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2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2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2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2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2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2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2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2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2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2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2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2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2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2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2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2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2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2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2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2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2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2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2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2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2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2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2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2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2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2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2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2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2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2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2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2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2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2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2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2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2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2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2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2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2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2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2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2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2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2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2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2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2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2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2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2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2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2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2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2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2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2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2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2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2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2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2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2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2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2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2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2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2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2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2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2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2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2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2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2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2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2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2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2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2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2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2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2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2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2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2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2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2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2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2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2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2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2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2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2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2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2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2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2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2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2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2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2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2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2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2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2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2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2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2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2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2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2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2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2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2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2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2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2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2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2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2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2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2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2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2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2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2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2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2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2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2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</sheetData>
  <mergeCells count="41">
    <mergeCell ref="B22:J22"/>
    <mergeCell ref="D20:F20"/>
    <mergeCell ref="G15:J19"/>
    <mergeCell ref="G14:J14"/>
    <mergeCell ref="C15:E15"/>
    <mergeCell ref="C17:E17"/>
    <mergeCell ref="C19:E19"/>
    <mergeCell ref="B2:F2"/>
    <mergeCell ref="G2:J2"/>
    <mergeCell ref="B5:D5"/>
    <mergeCell ref="B11:J11"/>
    <mergeCell ref="G13:J13"/>
    <mergeCell ref="D7:E7"/>
    <mergeCell ref="C13:E13"/>
    <mergeCell ref="E23:E24"/>
    <mergeCell ref="H25:I25"/>
    <mergeCell ref="H26:I26"/>
    <mergeCell ref="B23:B24"/>
    <mergeCell ref="D23:D24"/>
    <mergeCell ref="C23:C24"/>
    <mergeCell ref="J23:J24"/>
    <mergeCell ref="F23:F24"/>
    <mergeCell ref="G23:G24"/>
    <mergeCell ref="H23:I24"/>
    <mergeCell ref="H48:I48"/>
    <mergeCell ref="H27:I27"/>
    <mergeCell ref="H28:I28"/>
    <mergeCell ref="H49:J49"/>
    <mergeCell ref="D50:E50"/>
    <mergeCell ref="H50:J50"/>
    <mergeCell ref="H29:I29"/>
    <mergeCell ref="H30:I30"/>
    <mergeCell ref="H31:I31"/>
    <mergeCell ref="H45:I45"/>
    <mergeCell ref="H46:I46"/>
    <mergeCell ref="G47:I47"/>
    <mergeCell ref="B52:J52"/>
    <mergeCell ref="B54:J54"/>
    <mergeCell ref="B56:J56"/>
    <mergeCell ref="B57:J57"/>
    <mergeCell ref="B58:J58"/>
  </mergeCells>
  <conditionalFormatting sqref="E10">
    <cfRule type="cellIs" dxfId="1" priority="2" operator="equal">
      <formula>"si"</formula>
    </cfRule>
  </conditionalFormatting>
  <conditionalFormatting sqref="E9">
    <cfRule type="cellIs" dxfId="0" priority="1" operator="equal">
      <formula>"si"</formula>
    </cfRule>
  </conditionalFormatting>
  <dataValidations count="4">
    <dataValidation type="list" allowBlank="1" showErrorMessage="1" sqref="G5">
      <formula1>"2024,2025,2026,2027,2028,2029,2030,2031,2032,2033,2034,2035,2036,2037,2038,2039,2040,2041,2042,2043,2044,2045,2046,2047,2048,2049,2050"</formula1>
    </dataValidation>
    <dataValidation type="list" allowBlank="1" showErrorMessage="1" sqref="E5">
      <formula1>"1,2,3,4,5,6,7,8,9,10,11,12,13,14,15,16,17,18,19,20,21,22,23,24,25,26,27,28,29,30,31"</formula1>
    </dataValidation>
    <dataValidation type="list" allowBlank="1" showErrorMessage="1" sqref="F5">
      <formula1>"01,02,03,04,05,06,07,08,09,10,11,12"</formula1>
    </dataValidation>
    <dataValidation type="list" allowBlank="1" showInputMessage="1" showErrorMessage="1" sqref="D25:D45">
      <formula1>INDIRECT(SUBSTITUTE(C25," ","_"))</formula1>
    </dataValidation>
  </dataValidations>
  <printOptions horizontalCentered="1" verticalCentered="1"/>
  <pageMargins left="0.19" right="0.17" top="0.21" bottom="0.2" header="0" footer="0"/>
  <pageSetup scale="61" orientation="portrait" cellComments="atEnd" r:id="rId1"/>
  <rowBreaks count="1" manualBreakCount="1">
    <brk id="51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Hoja1!$I$4:$AD$4</xm:f>
          </x14:formula1>
          <xm:sqref>C25:C45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D78"/>
  <sheetViews>
    <sheetView topLeftCell="P1" workbookViewId="0">
      <selection activeCell="AC19" sqref="AC19"/>
    </sheetView>
  </sheetViews>
  <sheetFormatPr baseColWidth="10" defaultRowHeight="13.2" x14ac:dyDescent="0.25"/>
  <cols>
    <col min="1" max="1" width="11.5546875" style="72"/>
    <col min="2" max="2" width="65.6640625" style="72" bestFit="1" customWidth="1"/>
    <col min="3" max="3" width="9.33203125" style="72" bestFit="1" customWidth="1"/>
    <col min="4" max="4" width="65.6640625" style="72" customWidth="1"/>
    <col min="5" max="8" width="11.5546875" style="72"/>
    <col min="9" max="9" width="29.21875" style="72" bestFit="1" customWidth="1"/>
    <col min="10" max="14" width="11.5546875" style="72"/>
    <col min="15" max="15" width="14.5546875" style="72" bestFit="1" customWidth="1"/>
    <col min="16" max="27" width="11.5546875" style="72"/>
    <col min="28" max="28" width="32.33203125" style="72" customWidth="1"/>
    <col min="29" max="30" width="37.5546875" style="72" bestFit="1" customWidth="1"/>
    <col min="31" max="16384" width="11.5546875" style="72"/>
  </cols>
  <sheetData>
    <row r="3" spans="2:30" ht="13.8" thickBot="1" x14ac:dyDescent="0.3"/>
    <row r="4" spans="2:30" ht="16.2" thickBot="1" x14ac:dyDescent="0.3">
      <c r="B4" s="73" t="s">
        <v>36</v>
      </c>
      <c r="C4" s="74" t="s">
        <v>37</v>
      </c>
      <c r="D4" s="75" t="s">
        <v>31</v>
      </c>
      <c r="E4" s="76" t="s">
        <v>37</v>
      </c>
      <c r="I4" s="72" t="s">
        <v>40</v>
      </c>
      <c r="J4" s="72" t="s">
        <v>77</v>
      </c>
      <c r="K4" s="72" t="s">
        <v>78</v>
      </c>
      <c r="L4" s="72" t="s">
        <v>79</v>
      </c>
      <c r="M4" s="72" t="s">
        <v>80</v>
      </c>
      <c r="N4" s="72" t="s">
        <v>81</v>
      </c>
      <c r="O4" s="72" t="s">
        <v>127</v>
      </c>
      <c r="P4" s="72" t="s">
        <v>83</v>
      </c>
      <c r="Q4" s="72" t="s">
        <v>84</v>
      </c>
      <c r="R4" s="72" t="s">
        <v>85</v>
      </c>
      <c r="S4" s="72" t="s">
        <v>86</v>
      </c>
      <c r="T4" s="72" t="s">
        <v>128</v>
      </c>
      <c r="U4" s="72" t="s">
        <v>88</v>
      </c>
      <c r="V4" s="72" t="s">
        <v>89</v>
      </c>
      <c r="W4" s="72" t="s">
        <v>90</v>
      </c>
      <c r="X4" s="72" t="s">
        <v>91</v>
      </c>
      <c r="Y4" s="72" t="s">
        <v>92</v>
      </c>
      <c r="Z4" s="72" t="s">
        <v>93</v>
      </c>
      <c r="AA4" s="72" t="s">
        <v>94</v>
      </c>
      <c r="AB4" s="72" t="s">
        <v>95</v>
      </c>
      <c r="AC4" s="72" t="s">
        <v>160</v>
      </c>
      <c r="AD4" s="72" t="s">
        <v>161</v>
      </c>
    </row>
    <row r="5" spans="2:30" ht="16.2" thickBot="1" x14ac:dyDescent="0.35">
      <c r="B5" s="77" t="s">
        <v>40</v>
      </c>
      <c r="C5" s="74">
        <v>47</v>
      </c>
      <c r="D5" s="78" t="s">
        <v>41</v>
      </c>
      <c r="E5" s="79" t="s">
        <v>42</v>
      </c>
      <c r="I5" s="72" t="s">
        <v>41</v>
      </c>
      <c r="J5" s="72" t="s">
        <v>96</v>
      </c>
      <c r="K5" s="72" t="s">
        <v>96</v>
      </c>
      <c r="L5" s="72" t="s">
        <v>96</v>
      </c>
      <c r="M5" s="72" t="s">
        <v>96</v>
      </c>
      <c r="N5" s="72" t="s">
        <v>96</v>
      </c>
      <c r="O5" s="72" t="s">
        <v>96</v>
      </c>
      <c r="P5" s="72" t="s">
        <v>96</v>
      </c>
      <c r="Q5" s="72" t="s">
        <v>96</v>
      </c>
      <c r="R5" s="72" t="s">
        <v>96</v>
      </c>
      <c r="S5" s="72" t="s">
        <v>96</v>
      </c>
      <c r="T5" s="72" t="s">
        <v>96</v>
      </c>
      <c r="U5" s="72" t="s">
        <v>96</v>
      </c>
      <c r="V5" s="72" t="s">
        <v>96</v>
      </c>
      <c r="W5" s="72" t="s">
        <v>96</v>
      </c>
      <c r="X5" s="72" t="s">
        <v>96</v>
      </c>
      <c r="Y5" s="72" t="s">
        <v>96</v>
      </c>
      <c r="Z5" s="72" t="s">
        <v>96</v>
      </c>
      <c r="AA5" s="72" t="s">
        <v>96</v>
      </c>
      <c r="AB5" s="72" t="s">
        <v>96</v>
      </c>
      <c r="AC5" s="72" t="s">
        <v>96</v>
      </c>
      <c r="AD5" s="72" t="s">
        <v>96</v>
      </c>
    </row>
    <row r="6" spans="2:30" ht="16.2" thickBot="1" x14ac:dyDescent="0.35">
      <c r="B6" s="77" t="s">
        <v>40</v>
      </c>
      <c r="C6" s="74">
        <v>47</v>
      </c>
      <c r="D6" s="78" t="s">
        <v>43</v>
      </c>
      <c r="E6" s="79" t="s">
        <v>44</v>
      </c>
      <c r="I6" s="72" t="s">
        <v>43</v>
      </c>
      <c r="J6" s="72" t="s">
        <v>97</v>
      </c>
      <c r="K6" s="72" t="s">
        <v>97</v>
      </c>
      <c r="L6" s="72" t="s">
        <v>97</v>
      </c>
      <c r="M6" s="72" t="s">
        <v>97</v>
      </c>
      <c r="N6" s="72" t="s">
        <v>97</v>
      </c>
      <c r="O6" s="72" t="s">
        <v>97</v>
      </c>
      <c r="P6" s="72" t="s">
        <v>97</v>
      </c>
      <c r="Q6" s="72" t="s">
        <v>97</v>
      </c>
      <c r="R6" s="72" t="s">
        <v>97</v>
      </c>
      <c r="S6" s="72" t="s">
        <v>97</v>
      </c>
      <c r="T6" s="72" t="s">
        <v>97</v>
      </c>
      <c r="U6" s="72" t="s">
        <v>97</v>
      </c>
      <c r="V6" s="72" t="s">
        <v>97</v>
      </c>
      <c r="W6" s="72" t="s">
        <v>97</v>
      </c>
      <c r="X6" s="72" t="s">
        <v>97</v>
      </c>
      <c r="Y6" s="72" t="s">
        <v>97</v>
      </c>
      <c r="Z6" s="72" t="s">
        <v>97</v>
      </c>
      <c r="AA6" s="72" t="s">
        <v>97</v>
      </c>
      <c r="AB6" s="72" t="s">
        <v>97</v>
      </c>
      <c r="AC6" s="72" t="s">
        <v>97</v>
      </c>
      <c r="AD6" s="72" t="s">
        <v>97</v>
      </c>
    </row>
    <row r="7" spans="2:30" ht="16.2" thickBot="1" x14ac:dyDescent="0.35">
      <c r="B7" s="77" t="s">
        <v>40</v>
      </c>
      <c r="C7" s="74">
        <v>47</v>
      </c>
      <c r="D7" s="78" t="s">
        <v>45</v>
      </c>
      <c r="E7" s="79" t="s">
        <v>46</v>
      </c>
      <c r="I7" s="72" t="s">
        <v>45</v>
      </c>
      <c r="J7" s="72" t="s">
        <v>98</v>
      </c>
      <c r="K7" s="72" t="s">
        <v>98</v>
      </c>
      <c r="L7" s="72" t="s">
        <v>98</v>
      </c>
      <c r="M7" s="72" t="s">
        <v>98</v>
      </c>
      <c r="N7" s="72" t="s">
        <v>98</v>
      </c>
      <c r="O7" s="72" t="s">
        <v>98</v>
      </c>
      <c r="P7" s="72" t="s">
        <v>98</v>
      </c>
      <c r="Q7" s="72" t="s">
        <v>98</v>
      </c>
      <c r="R7" s="72" t="s">
        <v>98</v>
      </c>
      <c r="S7" s="72" t="s">
        <v>98</v>
      </c>
      <c r="T7" s="72" t="s">
        <v>98</v>
      </c>
      <c r="U7" s="72" t="s">
        <v>98</v>
      </c>
      <c r="V7" s="72" t="s">
        <v>98</v>
      </c>
      <c r="W7" s="72" t="s">
        <v>98</v>
      </c>
      <c r="X7" s="72" t="s">
        <v>98</v>
      </c>
      <c r="Y7" s="72" t="s">
        <v>98</v>
      </c>
      <c r="Z7" s="72" t="s">
        <v>98</v>
      </c>
      <c r="AA7" s="72" t="s">
        <v>98</v>
      </c>
      <c r="AB7" s="72" t="s">
        <v>98</v>
      </c>
      <c r="AC7" s="72" t="s">
        <v>98</v>
      </c>
      <c r="AD7" s="72" t="s">
        <v>98</v>
      </c>
    </row>
    <row r="8" spans="2:30" ht="16.2" thickBot="1" x14ac:dyDescent="0.35">
      <c r="B8" s="77" t="s">
        <v>40</v>
      </c>
      <c r="C8" s="74">
        <v>47</v>
      </c>
      <c r="D8" s="78" t="s">
        <v>47</v>
      </c>
      <c r="E8" s="79" t="s">
        <v>48</v>
      </c>
      <c r="I8" s="72" t="s">
        <v>47</v>
      </c>
      <c r="J8" s="72" t="s">
        <v>99</v>
      </c>
      <c r="K8" s="72" t="s">
        <v>99</v>
      </c>
      <c r="L8" s="72" t="s">
        <v>99</v>
      </c>
      <c r="M8" s="72" t="s">
        <v>99</v>
      </c>
      <c r="N8" s="72" t="s">
        <v>99</v>
      </c>
      <c r="O8" s="72" t="s">
        <v>99</v>
      </c>
      <c r="P8" s="72" t="s">
        <v>99</v>
      </c>
      <c r="Q8" s="72" t="s">
        <v>99</v>
      </c>
      <c r="R8" s="72" t="s">
        <v>99</v>
      </c>
      <c r="S8" s="72" t="s">
        <v>99</v>
      </c>
      <c r="T8" s="72" t="s">
        <v>99</v>
      </c>
      <c r="U8" s="72" t="s">
        <v>99</v>
      </c>
      <c r="V8" s="72" t="s">
        <v>99</v>
      </c>
      <c r="W8" s="72" t="s">
        <v>99</v>
      </c>
      <c r="X8" s="72" t="s">
        <v>99</v>
      </c>
      <c r="Y8" s="72" t="s">
        <v>99</v>
      </c>
      <c r="Z8" s="72" t="s">
        <v>99</v>
      </c>
      <c r="AA8" s="72" t="s">
        <v>99</v>
      </c>
      <c r="AB8" s="72" t="s">
        <v>99</v>
      </c>
      <c r="AC8" s="72" t="s">
        <v>99</v>
      </c>
      <c r="AD8" s="72" t="s">
        <v>99</v>
      </c>
    </row>
    <row r="9" spans="2:30" ht="16.2" thickBot="1" x14ac:dyDescent="0.35">
      <c r="B9" s="77" t="s">
        <v>40</v>
      </c>
      <c r="C9" s="74">
        <v>47</v>
      </c>
      <c r="D9" s="78" t="s">
        <v>49</v>
      </c>
      <c r="E9" s="79" t="s">
        <v>50</v>
      </c>
      <c r="I9" s="72" t="s">
        <v>49</v>
      </c>
      <c r="J9" s="72" t="s">
        <v>100</v>
      </c>
      <c r="K9" s="72" t="s">
        <v>100</v>
      </c>
      <c r="L9" s="72" t="s">
        <v>100</v>
      </c>
      <c r="M9" s="72" t="s">
        <v>100</v>
      </c>
      <c r="N9" s="72" t="s">
        <v>100</v>
      </c>
      <c r="O9" s="72" t="s">
        <v>100</v>
      </c>
      <c r="P9" s="72" t="s">
        <v>100</v>
      </c>
      <c r="Q9" s="72" t="s">
        <v>100</v>
      </c>
      <c r="R9" s="72" t="s">
        <v>100</v>
      </c>
      <c r="S9" s="72" t="s">
        <v>100</v>
      </c>
      <c r="T9" s="72" t="s">
        <v>100</v>
      </c>
      <c r="U9" s="72" t="s">
        <v>100</v>
      </c>
      <c r="V9" s="72" t="s">
        <v>100</v>
      </c>
      <c r="W9" s="72" t="s">
        <v>100</v>
      </c>
      <c r="X9" s="72" t="s">
        <v>100</v>
      </c>
      <c r="Y9" s="72" t="s">
        <v>100</v>
      </c>
      <c r="Z9" s="72" t="s">
        <v>100</v>
      </c>
      <c r="AA9" s="72" t="s">
        <v>100</v>
      </c>
      <c r="AB9" s="72" t="s">
        <v>100</v>
      </c>
      <c r="AC9" s="72" t="s">
        <v>100</v>
      </c>
      <c r="AD9" s="72" t="s">
        <v>100</v>
      </c>
    </row>
    <row r="10" spans="2:30" ht="16.2" thickBot="1" x14ac:dyDescent="0.35">
      <c r="B10" s="77" t="s">
        <v>40</v>
      </c>
      <c r="C10" s="74">
        <v>47</v>
      </c>
      <c r="D10" s="78" t="s">
        <v>51</v>
      </c>
      <c r="E10" s="79" t="s">
        <v>52</v>
      </c>
      <c r="I10" s="72" t="s">
        <v>51</v>
      </c>
      <c r="J10" s="72" t="s">
        <v>101</v>
      </c>
      <c r="K10" s="72" t="s">
        <v>101</v>
      </c>
      <c r="L10" s="72" t="s">
        <v>101</v>
      </c>
      <c r="M10" s="72" t="s">
        <v>101</v>
      </c>
      <c r="N10" s="72" t="s">
        <v>101</v>
      </c>
      <c r="O10" s="72" t="s">
        <v>101</v>
      </c>
      <c r="P10" s="72" t="s">
        <v>101</v>
      </c>
      <c r="Q10" s="72" t="s">
        <v>101</v>
      </c>
      <c r="R10" s="72" t="s">
        <v>101</v>
      </c>
      <c r="S10" s="72" t="s">
        <v>101</v>
      </c>
      <c r="T10" s="72" t="s">
        <v>101</v>
      </c>
      <c r="U10" s="72" t="s">
        <v>101</v>
      </c>
      <c r="V10" s="72" t="s">
        <v>101</v>
      </c>
      <c r="W10" s="72" t="s">
        <v>101</v>
      </c>
      <c r="X10" s="72" t="s">
        <v>101</v>
      </c>
      <c r="Y10" s="72" t="s">
        <v>101</v>
      </c>
      <c r="Z10" s="72" t="s">
        <v>101</v>
      </c>
      <c r="AA10" s="72" t="s">
        <v>101</v>
      </c>
      <c r="AB10" s="72" t="s">
        <v>101</v>
      </c>
      <c r="AC10" s="72" t="s">
        <v>101</v>
      </c>
      <c r="AD10" s="72" t="s">
        <v>101</v>
      </c>
    </row>
    <row r="11" spans="2:30" ht="16.2" thickBot="1" x14ac:dyDescent="0.35">
      <c r="B11" s="77" t="s">
        <v>40</v>
      </c>
      <c r="C11" s="74">
        <v>47</v>
      </c>
      <c r="D11" s="78" t="s">
        <v>53</v>
      </c>
      <c r="E11" s="79" t="s">
        <v>54</v>
      </c>
      <c r="I11" s="72" t="s">
        <v>53</v>
      </c>
      <c r="J11" s="72" t="s">
        <v>102</v>
      </c>
      <c r="K11" s="72" t="s">
        <v>102</v>
      </c>
      <c r="L11" s="72" t="s">
        <v>102</v>
      </c>
      <c r="M11" s="72" t="s">
        <v>102</v>
      </c>
      <c r="N11" s="72" t="s">
        <v>102</v>
      </c>
      <c r="O11" s="72" t="s">
        <v>102</v>
      </c>
      <c r="P11" s="72" t="s">
        <v>102</v>
      </c>
      <c r="Q11" s="72" t="s">
        <v>102</v>
      </c>
      <c r="R11" s="72" t="s">
        <v>102</v>
      </c>
      <c r="S11" s="72" t="s">
        <v>102</v>
      </c>
      <c r="T11" s="72" t="s">
        <v>102</v>
      </c>
      <c r="U11" s="72" t="s">
        <v>102</v>
      </c>
      <c r="V11" s="72" t="s">
        <v>102</v>
      </c>
      <c r="W11" s="72" t="s">
        <v>102</v>
      </c>
      <c r="X11" s="72" t="s">
        <v>102</v>
      </c>
      <c r="Y11" s="72" t="s">
        <v>102</v>
      </c>
      <c r="Z11" s="72" t="s">
        <v>102</v>
      </c>
      <c r="AA11" s="72" t="s">
        <v>102</v>
      </c>
      <c r="AB11" s="72" t="s">
        <v>102</v>
      </c>
      <c r="AC11" s="72" t="s">
        <v>102</v>
      </c>
      <c r="AD11" s="72" t="s">
        <v>102</v>
      </c>
    </row>
    <row r="12" spans="2:30" ht="16.2" thickBot="1" x14ac:dyDescent="0.35">
      <c r="B12" s="77" t="s">
        <v>40</v>
      </c>
      <c r="C12" s="74">
        <v>47</v>
      </c>
      <c r="D12" s="78" t="s">
        <v>55</v>
      </c>
      <c r="E12" s="79" t="s">
        <v>56</v>
      </c>
      <c r="I12" s="72" t="s">
        <v>55</v>
      </c>
      <c r="J12" s="72" t="s">
        <v>103</v>
      </c>
      <c r="K12" s="72" t="s">
        <v>103</v>
      </c>
      <c r="L12" s="72" t="s">
        <v>103</v>
      </c>
      <c r="M12" s="72" t="s">
        <v>103</v>
      </c>
      <c r="N12" s="72" t="s">
        <v>103</v>
      </c>
      <c r="O12" s="72" t="s">
        <v>103</v>
      </c>
      <c r="P12" s="72" t="s">
        <v>103</v>
      </c>
      <c r="Q12" s="72" t="s">
        <v>103</v>
      </c>
      <c r="R12" s="72" t="s">
        <v>103</v>
      </c>
      <c r="S12" s="72" t="s">
        <v>103</v>
      </c>
      <c r="T12" s="72" t="s">
        <v>103</v>
      </c>
      <c r="U12" s="72" t="s">
        <v>103</v>
      </c>
      <c r="V12" s="72" t="s">
        <v>103</v>
      </c>
      <c r="W12" s="72" t="s">
        <v>103</v>
      </c>
      <c r="X12" s="72" t="s">
        <v>103</v>
      </c>
      <c r="Y12" s="72" t="s">
        <v>103</v>
      </c>
      <c r="Z12" s="72" t="s">
        <v>103</v>
      </c>
      <c r="AA12" s="72" t="s">
        <v>103</v>
      </c>
      <c r="AB12" s="72" t="s">
        <v>103</v>
      </c>
      <c r="AC12" s="72" t="s">
        <v>162</v>
      </c>
      <c r="AD12" s="72" t="s">
        <v>162</v>
      </c>
    </row>
    <row r="13" spans="2:30" ht="16.2" thickBot="1" x14ac:dyDescent="0.35">
      <c r="B13" s="77" t="s">
        <v>40</v>
      </c>
      <c r="C13" s="74">
        <v>47</v>
      </c>
      <c r="D13" s="78" t="s">
        <v>57</v>
      </c>
      <c r="E13" s="79" t="s">
        <v>58</v>
      </c>
      <c r="I13" s="72" t="s">
        <v>57</v>
      </c>
      <c r="J13" s="72" t="s">
        <v>104</v>
      </c>
      <c r="K13" s="72" t="s">
        <v>104</v>
      </c>
      <c r="L13" s="72" t="s">
        <v>104</v>
      </c>
      <c r="M13" s="72" t="s">
        <v>104</v>
      </c>
      <c r="N13" s="72" t="s">
        <v>104</v>
      </c>
      <c r="O13" s="72" t="s">
        <v>104</v>
      </c>
      <c r="P13" s="72" t="s">
        <v>104</v>
      </c>
      <c r="Q13" s="72" t="s">
        <v>104</v>
      </c>
      <c r="R13" s="72" t="s">
        <v>104</v>
      </c>
      <c r="S13" s="72" t="s">
        <v>104</v>
      </c>
      <c r="T13" s="72" t="s">
        <v>104</v>
      </c>
      <c r="U13" s="72" t="s">
        <v>104</v>
      </c>
      <c r="V13" s="72" t="s">
        <v>104</v>
      </c>
      <c r="W13" s="72" t="s">
        <v>104</v>
      </c>
      <c r="X13" s="72" t="s">
        <v>104</v>
      </c>
      <c r="Y13" s="72" t="s">
        <v>104</v>
      </c>
      <c r="Z13" s="72" t="s">
        <v>104</v>
      </c>
      <c r="AA13" s="72" t="s">
        <v>104</v>
      </c>
      <c r="AB13" s="72" t="s">
        <v>104</v>
      </c>
      <c r="AC13" s="72" t="s">
        <v>163</v>
      </c>
      <c r="AD13" s="72" t="s">
        <v>163</v>
      </c>
    </row>
    <row r="14" spans="2:30" ht="16.2" thickBot="1" x14ac:dyDescent="0.35">
      <c r="B14" s="77" t="s">
        <v>40</v>
      </c>
      <c r="C14" s="74">
        <v>47</v>
      </c>
      <c r="D14" s="78" t="s">
        <v>59</v>
      </c>
      <c r="E14" s="79" t="s">
        <v>60</v>
      </c>
      <c r="I14" s="72" t="s">
        <v>59</v>
      </c>
      <c r="J14" s="72" t="s">
        <v>105</v>
      </c>
      <c r="K14" s="72" t="s">
        <v>105</v>
      </c>
      <c r="L14" s="72" t="s">
        <v>105</v>
      </c>
      <c r="M14" s="72" t="s">
        <v>105</v>
      </c>
      <c r="N14" s="72" t="s">
        <v>105</v>
      </c>
      <c r="O14" s="72" t="s">
        <v>105</v>
      </c>
      <c r="P14" s="72" t="s">
        <v>105</v>
      </c>
      <c r="Q14" s="72" t="s">
        <v>105</v>
      </c>
      <c r="R14" s="72" t="s">
        <v>105</v>
      </c>
      <c r="S14" s="72" t="s">
        <v>105</v>
      </c>
      <c r="T14" s="72" t="s">
        <v>105</v>
      </c>
      <c r="U14" s="72" t="s">
        <v>105</v>
      </c>
      <c r="V14" s="72" t="s">
        <v>105</v>
      </c>
      <c r="W14" s="72" t="s">
        <v>105</v>
      </c>
      <c r="X14" s="72" t="s">
        <v>105</v>
      </c>
      <c r="Y14" s="72" t="s">
        <v>105</v>
      </c>
      <c r="Z14" s="72" t="s">
        <v>105</v>
      </c>
      <c r="AA14" s="72" t="s">
        <v>105</v>
      </c>
      <c r="AB14" s="72" t="s">
        <v>105</v>
      </c>
      <c r="AC14" s="72" t="s">
        <v>164</v>
      </c>
      <c r="AD14" s="72" t="s">
        <v>164</v>
      </c>
    </row>
    <row r="15" spans="2:30" ht="16.2" thickBot="1" x14ac:dyDescent="0.35">
      <c r="B15" s="77" t="s">
        <v>40</v>
      </c>
      <c r="C15" s="74">
        <v>47</v>
      </c>
      <c r="D15" s="78" t="s">
        <v>61</v>
      </c>
      <c r="E15" s="79" t="s">
        <v>62</v>
      </c>
      <c r="I15" s="72" t="s">
        <v>61</v>
      </c>
      <c r="J15" s="72" t="s">
        <v>106</v>
      </c>
      <c r="K15" s="72" t="s">
        <v>106</v>
      </c>
      <c r="L15" s="72" t="s">
        <v>106</v>
      </c>
      <c r="M15" s="72" t="s">
        <v>106</v>
      </c>
      <c r="N15" s="72" t="s">
        <v>106</v>
      </c>
      <c r="O15" s="72" t="s">
        <v>106</v>
      </c>
      <c r="P15" s="72" t="s">
        <v>106</v>
      </c>
      <c r="Q15" s="72" t="s">
        <v>106</v>
      </c>
      <c r="R15" s="72" t="s">
        <v>106</v>
      </c>
      <c r="S15" s="72" t="s">
        <v>106</v>
      </c>
      <c r="T15" s="72" t="s">
        <v>106</v>
      </c>
      <c r="U15" s="72" t="s">
        <v>106</v>
      </c>
      <c r="V15" s="72" t="s">
        <v>106</v>
      </c>
      <c r="W15" s="72" t="s">
        <v>106</v>
      </c>
      <c r="X15" s="72" t="s">
        <v>106</v>
      </c>
      <c r="Y15" s="72" t="s">
        <v>106</v>
      </c>
      <c r="Z15" s="72" t="s">
        <v>106</v>
      </c>
      <c r="AA15" s="72" t="s">
        <v>106</v>
      </c>
      <c r="AB15" s="72" t="s">
        <v>106</v>
      </c>
      <c r="AC15" s="72" t="s">
        <v>165</v>
      </c>
      <c r="AD15" s="72" t="s">
        <v>165</v>
      </c>
    </row>
    <row r="16" spans="2:30" ht="16.2" thickBot="1" x14ac:dyDescent="0.35">
      <c r="B16" s="77" t="s">
        <v>40</v>
      </c>
      <c r="C16" s="74">
        <v>47</v>
      </c>
      <c r="D16" s="78" t="s">
        <v>63</v>
      </c>
      <c r="E16" s="79" t="s">
        <v>64</v>
      </c>
      <c r="I16" s="72" t="s">
        <v>63</v>
      </c>
      <c r="J16" s="72" t="s">
        <v>107</v>
      </c>
      <c r="K16" s="72" t="s">
        <v>107</v>
      </c>
      <c r="L16" s="72" t="s">
        <v>107</v>
      </c>
      <c r="M16" s="72" t="s">
        <v>107</v>
      </c>
      <c r="N16" s="72" t="s">
        <v>107</v>
      </c>
      <c r="O16" s="72" t="s">
        <v>107</v>
      </c>
      <c r="P16" s="72" t="s">
        <v>107</v>
      </c>
      <c r="Q16" s="72" t="s">
        <v>107</v>
      </c>
      <c r="R16" s="72" t="s">
        <v>107</v>
      </c>
      <c r="S16" s="72" t="s">
        <v>107</v>
      </c>
      <c r="T16" s="72" t="s">
        <v>107</v>
      </c>
      <c r="U16" s="72" t="s">
        <v>107</v>
      </c>
      <c r="V16" s="72" t="s">
        <v>107</v>
      </c>
      <c r="W16" s="72" t="s">
        <v>107</v>
      </c>
      <c r="X16" s="72" t="s">
        <v>107</v>
      </c>
      <c r="Y16" s="72" t="s">
        <v>107</v>
      </c>
      <c r="Z16" s="72" t="s">
        <v>107</v>
      </c>
      <c r="AA16" s="72" t="s">
        <v>107</v>
      </c>
      <c r="AB16" s="72" t="s">
        <v>107</v>
      </c>
      <c r="AC16" s="72" t="s">
        <v>166</v>
      </c>
      <c r="AD16" s="72" t="s">
        <v>166</v>
      </c>
    </row>
    <row r="17" spans="2:30" ht="16.2" thickBot="1" x14ac:dyDescent="0.35">
      <c r="B17" s="77" t="s">
        <v>40</v>
      </c>
      <c r="C17" s="74">
        <v>47</v>
      </c>
      <c r="D17" s="78" t="s">
        <v>65</v>
      </c>
      <c r="E17" s="79" t="s">
        <v>66</v>
      </c>
      <c r="I17" s="72" t="s">
        <v>65</v>
      </c>
      <c r="J17" s="72" t="s">
        <v>108</v>
      </c>
      <c r="K17" s="72" t="s">
        <v>108</v>
      </c>
      <c r="L17" s="72" t="s">
        <v>108</v>
      </c>
      <c r="M17" s="72" t="s">
        <v>108</v>
      </c>
      <c r="N17" s="72" t="s">
        <v>108</v>
      </c>
      <c r="O17" s="72" t="s">
        <v>108</v>
      </c>
      <c r="P17" s="72" t="s">
        <v>108</v>
      </c>
      <c r="Q17" s="72" t="s">
        <v>108</v>
      </c>
      <c r="R17" s="72" t="s">
        <v>108</v>
      </c>
      <c r="S17" s="72" t="s">
        <v>108</v>
      </c>
      <c r="T17" s="72" t="s">
        <v>108</v>
      </c>
      <c r="U17" s="72" t="s">
        <v>108</v>
      </c>
      <c r="V17" s="72" t="s">
        <v>108</v>
      </c>
      <c r="W17" s="72" t="s">
        <v>108</v>
      </c>
      <c r="X17" s="72" t="s">
        <v>108</v>
      </c>
      <c r="Y17" s="72" t="s">
        <v>108</v>
      </c>
      <c r="Z17" s="72" t="s">
        <v>108</v>
      </c>
      <c r="AA17" s="72" t="s">
        <v>108</v>
      </c>
      <c r="AB17" s="72" t="s">
        <v>108</v>
      </c>
      <c r="AC17" s="72" t="s">
        <v>167</v>
      </c>
      <c r="AD17" s="72" t="s">
        <v>167</v>
      </c>
    </row>
    <row r="18" spans="2:30" ht="16.2" thickBot="1" x14ac:dyDescent="0.35">
      <c r="B18" s="77" t="s">
        <v>40</v>
      </c>
      <c r="C18" s="74">
        <v>47</v>
      </c>
      <c r="D18" s="78" t="s">
        <v>67</v>
      </c>
      <c r="E18" s="79" t="s">
        <v>68</v>
      </c>
      <c r="I18" s="72" t="s">
        <v>67</v>
      </c>
      <c r="J18" s="72" t="s">
        <v>109</v>
      </c>
      <c r="K18" s="72" t="s">
        <v>109</v>
      </c>
      <c r="L18" s="72" t="s">
        <v>109</v>
      </c>
      <c r="M18" s="72" t="s">
        <v>109</v>
      </c>
      <c r="N18" s="72" t="s">
        <v>109</v>
      </c>
      <c r="O18" s="72" t="s">
        <v>109</v>
      </c>
      <c r="P18" s="72" t="s">
        <v>109</v>
      </c>
      <c r="Q18" s="72" t="s">
        <v>109</v>
      </c>
      <c r="R18" s="72" t="s">
        <v>109</v>
      </c>
      <c r="S18" s="72" t="s">
        <v>109</v>
      </c>
      <c r="T18" s="72" t="s">
        <v>109</v>
      </c>
      <c r="U18" s="72" t="s">
        <v>109</v>
      </c>
      <c r="V18" s="72" t="s">
        <v>109</v>
      </c>
      <c r="W18" s="72" t="s">
        <v>109</v>
      </c>
      <c r="X18" s="72" t="s">
        <v>109</v>
      </c>
      <c r="Y18" s="72" t="s">
        <v>109</v>
      </c>
      <c r="Z18" s="72" t="s">
        <v>109</v>
      </c>
      <c r="AA18" s="72" t="s">
        <v>109</v>
      </c>
      <c r="AB18" s="72" t="s">
        <v>109</v>
      </c>
      <c r="AC18" s="72" t="s">
        <v>168</v>
      </c>
      <c r="AD18" s="72" t="s">
        <v>168</v>
      </c>
    </row>
    <row r="19" spans="2:30" ht="15.6" x14ac:dyDescent="0.3">
      <c r="B19" s="77" t="s">
        <v>40</v>
      </c>
      <c r="C19" s="74">
        <v>47</v>
      </c>
      <c r="D19" s="78" t="s">
        <v>69</v>
      </c>
      <c r="E19" s="79" t="s">
        <v>70</v>
      </c>
      <c r="I19" s="72" t="s">
        <v>69</v>
      </c>
      <c r="J19" s="72" t="s">
        <v>110</v>
      </c>
      <c r="K19" s="72" t="s">
        <v>110</v>
      </c>
      <c r="L19" s="72" t="s">
        <v>110</v>
      </c>
      <c r="M19" s="72" t="s">
        <v>110</v>
      </c>
      <c r="N19" s="72" t="s">
        <v>110</v>
      </c>
      <c r="O19" s="72" t="s">
        <v>110</v>
      </c>
      <c r="P19" s="72" t="s">
        <v>110</v>
      </c>
      <c r="Q19" s="72" t="s">
        <v>110</v>
      </c>
      <c r="R19" s="72" t="s">
        <v>110</v>
      </c>
      <c r="S19" s="72" t="s">
        <v>110</v>
      </c>
      <c r="T19" s="72" t="s">
        <v>110</v>
      </c>
      <c r="U19" s="72" t="s">
        <v>110</v>
      </c>
      <c r="V19" s="72" t="s">
        <v>110</v>
      </c>
      <c r="W19" s="72" t="s">
        <v>110</v>
      </c>
      <c r="X19" s="72" t="s">
        <v>110</v>
      </c>
      <c r="Y19" s="72" t="s">
        <v>110</v>
      </c>
      <c r="Z19" s="72" t="s">
        <v>110</v>
      </c>
      <c r="AA19" s="72" t="s">
        <v>110</v>
      </c>
      <c r="AB19" s="72" t="s">
        <v>110</v>
      </c>
      <c r="AC19" s="72" t="s">
        <v>169</v>
      </c>
      <c r="AD19" s="72" t="s">
        <v>169</v>
      </c>
    </row>
    <row r="20" spans="2:30" ht="15.6" x14ac:dyDescent="0.3">
      <c r="B20" s="77" t="s">
        <v>77</v>
      </c>
      <c r="C20" s="80" t="s">
        <v>141</v>
      </c>
      <c r="D20" s="78" t="s">
        <v>96</v>
      </c>
      <c r="E20" s="79" t="s">
        <v>42</v>
      </c>
      <c r="J20" s="72" t="s">
        <v>111</v>
      </c>
      <c r="K20" s="72" t="s">
        <v>111</v>
      </c>
      <c r="L20" s="72" t="s">
        <v>111</v>
      </c>
      <c r="M20" s="72" t="s">
        <v>111</v>
      </c>
      <c r="N20" s="72" t="s">
        <v>111</v>
      </c>
      <c r="O20" s="72" t="s">
        <v>111</v>
      </c>
      <c r="P20" s="72" t="s">
        <v>111</v>
      </c>
      <c r="Q20" s="72" t="s">
        <v>111</v>
      </c>
      <c r="R20" s="72" t="s">
        <v>111</v>
      </c>
      <c r="S20" s="72" t="s">
        <v>111</v>
      </c>
      <c r="T20" s="72" t="s">
        <v>111</v>
      </c>
      <c r="U20" s="72" t="s">
        <v>111</v>
      </c>
      <c r="V20" s="72" t="s">
        <v>111</v>
      </c>
      <c r="W20" s="72" t="s">
        <v>111</v>
      </c>
      <c r="X20" s="72" t="s">
        <v>111</v>
      </c>
      <c r="Y20" s="72" t="s">
        <v>111</v>
      </c>
      <c r="Z20" s="72" t="s">
        <v>111</v>
      </c>
      <c r="AA20" s="72" t="s">
        <v>111</v>
      </c>
      <c r="AB20" s="72" t="s">
        <v>111</v>
      </c>
      <c r="AC20" s="72" t="s">
        <v>170</v>
      </c>
      <c r="AD20" s="72" t="s">
        <v>170</v>
      </c>
    </row>
    <row r="21" spans="2:30" ht="15.6" x14ac:dyDescent="0.3">
      <c r="B21" s="77" t="s">
        <v>78</v>
      </c>
      <c r="C21" s="80" t="s">
        <v>142</v>
      </c>
      <c r="D21" s="78" t="s">
        <v>97</v>
      </c>
      <c r="E21" s="79" t="s">
        <v>44</v>
      </c>
      <c r="J21" s="72" t="s">
        <v>112</v>
      </c>
      <c r="K21" s="72" t="s">
        <v>112</v>
      </c>
      <c r="L21" s="72" t="s">
        <v>112</v>
      </c>
      <c r="M21" s="72" t="s">
        <v>112</v>
      </c>
      <c r="N21" s="72" t="s">
        <v>112</v>
      </c>
      <c r="O21" s="72" t="s">
        <v>112</v>
      </c>
      <c r="P21" s="72" t="s">
        <v>112</v>
      </c>
      <c r="Q21" s="72" t="s">
        <v>112</v>
      </c>
      <c r="R21" s="72" t="s">
        <v>112</v>
      </c>
      <c r="S21" s="72" t="s">
        <v>112</v>
      </c>
      <c r="T21" s="72" t="s">
        <v>112</v>
      </c>
      <c r="U21" s="72" t="s">
        <v>112</v>
      </c>
      <c r="V21" s="72" t="s">
        <v>112</v>
      </c>
      <c r="W21" s="72" t="s">
        <v>112</v>
      </c>
      <c r="X21" s="72" t="s">
        <v>112</v>
      </c>
      <c r="Y21" s="72" t="s">
        <v>112</v>
      </c>
      <c r="Z21" s="72" t="s">
        <v>112</v>
      </c>
      <c r="AA21" s="72" t="s">
        <v>112</v>
      </c>
      <c r="AB21" s="72" t="s">
        <v>112</v>
      </c>
      <c r="AC21" s="72" t="s">
        <v>117</v>
      </c>
      <c r="AD21" s="72" t="s">
        <v>117</v>
      </c>
    </row>
    <row r="22" spans="2:30" ht="15.6" x14ac:dyDescent="0.3">
      <c r="B22" s="77" t="s">
        <v>79</v>
      </c>
      <c r="C22" s="80" t="s">
        <v>143</v>
      </c>
      <c r="D22" s="78" t="s">
        <v>98</v>
      </c>
      <c r="E22" s="79" t="s">
        <v>74</v>
      </c>
      <c r="J22" s="72" t="s">
        <v>113</v>
      </c>
      <c r="K22" s="72" t="s">
        <v>113</v>
      </c>
      <c r="L22" s="72" t="s">
        <v>113</v>
      </c>
      <c r="M22" s="72" t="s">
        <v>113</v>
      </c>
      <c r="N22" s="72" t="s">
        <v>113</v>
      </c>
      <c r="O22" s="72" t="s">
        <v>113</v>
      </c>
      <c r="P22" s="72" t="s">
        <v>113</v>
      </c>
      <c r="Q22" s="72" t="s">
        <v>113</v>
      </c>
      <c r="R22" s="72" t="s">
        <v>113</v>
      </c>
      <c r="S22" s="72" t="s">
        <v>113</v>
      </c>
      <c r="T22" s="72" t="s">
        <v>113</v>
      </c>
      <c r="U22" s="72" t="s">
        <v>113</v>
      </c>
      <c r="V22" s="72" t="s">
        <v>113</v>
      </c>
      <c r="W22" s="72" t="s">
        <v>113</v>
      </c>
      <c r="X22" s="72" t="s">
        <v>113</v>
      </c>
      <c r="Y22" s="72" t="s">
        <v>113</v>
      </c>
      <c r="Z22" s="72" t="s">
        <v>113</v>
      </c>
      <c r="AA22" s="72" t="s">
        <v>113</v>
      </c>
      <c r="AB22" s="72" t="s">
        <v>113</v>
      </c>
      <c r="AC22" s="72" t="s">
        <v>171</v>
      </c>
      <c r="AD22" s="72" t="s">
        <v>171</v>
      </c>
    </row>
    <row r="23" spans="2:30" ht="15.6" x14ac:dyDescent="0.3">
      <c r="B23" s="77" t="s">
        <v>80</v>
      </c>
      <c r="C23" s="80" t="s">
        <v>144</v>
      </c>
      <c r="D23" s="78" t="s">
        <v>99</v>
      </c>
      <c r="E23" s="79" t="s">
        <v>75</v>
      </c>
      <c r="J23" s="72" t="s">
        <v>114</v>
      </c>
      <c r="K23" s="72" t="s">
        <v>114</v>
      </c>
      <c r="L23" s="72" t="s">
        <v>114</v>
      </c>
      <c r="M23" s="72" t="s">
        <v>114</v>
      </c>
      <c r="N23" s="72" t="s">
        <v>114</v>
      </c>
      <c r="O23" s="72" t="s">
        <v>114</v>
      </c>
      <c r="P23" s="72" t="s">
        <v>114</v>
      </c>
      <c r="Q23" s="72" t="s">
        <v>114</v>
      </c>
      <c r="R23" s="72" t="s">
        <v>114</v>
      </c>
      <c r="S23" s="72" t="s">
        <v>114</v>
      </c>
      <c r="T23" s="72" t="s">
        <v>114</v>
      </c>
      <c r="U23" s="72" t="s">
        <v>114</v>
      </c>
      <c r="V23" s="72" t="s">
        <v>114</v>
      </c>
      <c r="W23" s="72" t="s">
        <v>114</v>
      </c>
      <c r="X23" s="72" t="s">
        <v>114</v>
      </c>
      <c r="Y23" s="72" t="s">
        <v>114</v>
      </c>
      <c r="Z23" s="72" t="s">
        <v>114</v>
      </c>
      <c r="AA23" s="72" t="s">
        <v>114</v>
      </c>
      <c r="AB23" s="72" t="s">
        <v>114</v>
      </c>
      <c r="AC23" s="72" t="s">
        <v>172</v>
      </c>
      <c r="AD23" s="72" t="s">
        <v>172</v>
      </c>
    </row>
    <row r="24" spans="2:30" ht="15.6" x14ac:dyDescent="0.3">
      <c r="B24" s="77" t="s">
        <v>81</v>
      </c>
      <c r="C24" s="80" t="s">
        <v>145</v>
      </c>
      <c r="D24" s="78" t="s">
        <v>100</v>
      </c>
      <c r="E24" s="79" t="s">
        <v>76</v>
      </c>
      <c r="J24" s="72" t="s">
        <v>115</v>
      </c>
      <c r="K24" s="72" t="s">
        <v>115</v>
      </c>
      <c r="L24" s="72" t="s">
        <v>115</v>
      </c>
      <c r="M24" s="72" t="s">
        <v>115</v>
      </c>
      <c r="N24" s="72" t="s">
        <v>115</v>
      </c>
      <c r="O24" s="72" t="s">
        <v>115</v>
      </c>
      <c r="P24" s="72" t="s">
        <v>115</v>
      </c>
      <c r="Q24" s="72" t="s">
        <v>115</v>
      </c>
      <c r="R24" s="72" t="s">
        <v>115</v>
      </c>
      <c r="S24" s="72" t="s">
        <v>115</v>
      </c>
      <c r="T24" s="72" t="s">
        <v>115</v>
      </c>
      <c r="U24" s="72" t="s">
        <v>115</v>
      </c>
      <c r="V24" s="72" t="s">
        <v>115</v>
      </c>
      <c r="W24" s="72" t="s">
        <v>115</v>
      </c>
      <c r="X24" s="72" t="s">
        <v>115</v>
      </c>
      <c r="Y24" s="72" t="s">
        <v>115</v>
      </c>
      <c r="Z24" s="72" t="s">
        <v>115</v>
      </c>
      <c r="AA24" s="72" t="s">
        <v>115</v>
      </c>
      <c r="AB24" s="72" t="s">
        <v>115</v>
      </c>
      <c r="AC24" s="72" t="s">
        <v>121</v>
      </c>
      <c r="AD24" s="72" t="s">
        <v>121</v>
      </c>
    </row>
    <row r="25" spans="2:30" ht="15.6" x14ac:dyDescent="0.3">
      <c r="B25" s="77" t="s">
        <v>82</v>
      </c>
      <c r="C25" s="80" t="s">
        <v>146</v>
      </c>
      <c r="D25" s="78" t="s">
        <v>101</v>
      </c>
      <c r="E25" s="79" t="s">
        <v>129</v>
      </c>
      <c r="J25" s="72" t="s">
        <v>116</v>
      </c>
      <c r="K25" s="72" t="s">
        <v>116</v>
      </c>
      <c r="L25" s="72" t="s">
        <v>116</v>
      </c>
      <c r="M25" s="72" t="s">
        <v>116</v>
      </c>
      <c r="N25" s="72" t="s">
        <v>116</v>
      </c>
      <c r="O25" s="72" t="s">
        <v>116</v>
      </c>
      <c r="P25" s="72" t="s">
        <v>116</v>
      </c>
      <c r="Q25" s="72" t="s">
        <v>116</v>
      </c>
      <c r="R25" s="72" t="s">
        <v>116</v>
      </c>
      <c r="S25" s="72" t="s">
        <v>116</v>
      </c>
      <c r="T25" s="72" t="s">
        <v>116</v>
      </c>
      <c r="U25" s="72" t="s">
        <v>116</v>
      </c>
      <c r="V25" s="72" t="s">
        <v>116</v>
      </c>
      <c r="W25" s="72" t="s">
        <v>116</v>
      </c>
      <c r="X25" s="72" t="s">
        <v>116</v>
      </c>
      <c r="Y25" s="72" t="s">
        <v>116</v>
      </c>
      <c r="Z25" s="72" t="s">
        <v>116</v>
      </c>
      <c r="AA25" s="72" t="s">
        <v>116</v>
      </c>
      <c r="AB25" s="72" t="s">
        <v>116</v>
      </c>
      <c r="AC25" s="72" t="s">
        <v>173</v>
      </c>
    </row>
    <row r="26" spans="2:30" ht="15.6" x14ac:dyDescent="0.3">
      <c r="B26" s="77" t="s">
        <v>83</v>
      </c>
      <c r="C26" s="80" t="s">
        <v>147</v>
      </c>
      <c r="D26" s="78" t="s">
        <v>102</v>
      </c>
      <c r="E26" s="79" t="s">
        <v>130</v>
      </c>
      <c r="J26" s="72" t="s">
        <v>126</v>
      </c>
      <c r="K26" s="72" t="s">
        <v>126</v>
      </c>
      <c r="L26" s="72" t="s">
        <v>126</v>
      </c>
      <c r="M26" s="72" t="s">
        <v>126</v>
      </c>
      <c r="N26" s="72" t="s">
        <v>126</v>
      </c>
      <c r="O26" s="72" t="s">
        <v>126</v>
      </c>
      <c r="P26" s="72" t="s">
        <v>126</v>
      </c>
      <c r="Q26" s="72" t="s">
        <v>126</v>
      </c>
      <c r="R26" s="72" t="s">
        <v>126</v>
      </c>
      <c r="S26" s="72" t="s">
        <v>126</v>
      </c>
      <c r="T26" s="72" t="s">
        <v>126</v>
      </c>
      <c r="U26" s="72" t="s">
        <v>126</v>
      </c>
      <c r="V26" s="72" t="s">
        <v>126</v>
      </c>
      <c r="W26" s="72" t="s">
        <v>126</v>
      </c>
      <c r="X26" s="72" t="s">
        <v>126</v>
      </c>
      <c r="Y26" s="72" t="s">
        <v>126</v>
      </c>
      <c r="Z26" s="72" t="s">
        <v>126</v>
      </c>
      <c r="AA26" s="72" t="s">
        <v>126</v>
      </c>
      <c r="AB26" s="72" t="s">
        <v>126</v>
      </c>
    </row>
    <row r="27" spans="2:30" ht="15.6" x14ac:dyDescent="0.3">
      <c r="B27" s="77" t="s">
        <v>84</v>
      </c>
      <c r="C27" s="80" t="s">
        <v>148</v>
      </c>
      <c r="D27" s="78" t="s">
        <v>103</v>
      </c>
      <c r="E27" s="79" t="s">
        <v>131</v>
      </c>
      <c r="J27" s="72" t="s">
        <v>117</v>
      </c>
      <c r="K27" s="72" t="s">
        <v>117</v>
      </c>
      <c r="L27" s="72" t="s">
        <v>117</v>
      </c>
      <c r="M27" s="72" t="s">
        <v>117</v>
      </c>
      <c r="N27" s="72" t="s">
        <v>117</v>
      </c>
      <c r="O27" s="72" t="s">
        <v>117</v>
      </c>
      <c r="P27" s="72" t="s">
        <v>117</v>
      </c>
      <c r="Q27" s="72" t="s">
        <v>117</v>
      </c>
      <c r="R27" s="72" t="s">
        <v>117</v>
      </c>
      <c r="S27" s="72" t="s">
        <v>117</v>
      </c>
      <c r="T27" s="72" t="s">
        <v>117</v>
      </c>
      <c r="U27" s="72" t="s">
        <v>117</v>
      </c>
      <c r="V27" s="72" t="s">
        <v>117</v>
      </c>
      <c r="W27" s="72" t="s">
        <v>117</v>
      </c>
      <c r="X27" s="72" t="s">
        <v>117</v>
      </c>
      <c r="Y27" s="72" t="s">
        <v>117</v>
      </c>
      <c r="Z27" s="72" t="s">
        <v>117</v>
      </c>
      <c r="AA27" s="72" t="s">
        <v>117</v>
      </c>
      <c r="AB27" s="72" t="s">
        <v>117</v>
      </c>
    </row>
    <row r="28" spans="2:30" ht="15.6" x14ac:dyDescent="0.3">
      <c r="B28" s="77" t="s">
        <v>85</v>
      </c>
      <c r="C28" s="80" t="s">
        <v>149</v>
      </c>
      <c r="D28" s="78" t="s">
        <v>104</v>
      </c>
      <c r="E28" s="79" t="s">
        <v>68</v>
      </c>
      <c r="J28" s="72" t="s">
        <v>118</v>
      </c>
      <c r="K28" s="72" t="s">
        <v>118</v>
      </c>
      <c r="L28" s="72" t="s">
        <v>118</v>
      </c>
      <c r="M28" s="72" t="s">
        <v>118</v>
      </c>
      <c r="N28" s="72" t="s">
        <v>118</v>
      </c>
      <c r="O28" s="72" t="s">
        <v>118</v>
      </c>
      <c r="P28" s="72" t="s">
        <v>118</v>
      </c>
      <c r="Q28" s="72" t="s">
        <v>118</v>
      </c>
      <c r="R28" s="72" t="s">
        <v>118</v>
      </c>
      <c r="S28" s="72" t="s">
        <v>118</v>
      </c>
      <c r="T28" s="72" t="s">
        <v>118</v>
      </c>
      <c r="U28" s="72" t="s">
        <v>118</v>
      </c>
      <c r="V28" s="72" t="s">
        <v>118</v>
      </c>
      <c r="W28" s="72" t="s">
        <v>118</v>
      </c>
      <c r="X28" s="72" t="s">
        <v>118</v>
      </c>
      <c r="Y28" s="72" t="s">
        <v>118</v>
      </c>
      <c r="Z28" s="72" t="s">
        <v>118</v>
      </c>
      <c r="AA28" s="72" t="s">
        <v>118</v>
      </c>
      <c r="AB28" s="72" t="s">
        <v>118</v>
      </c>
    </row>
    <row r="29" spans="2:30" ht="15.6" x14ac:dyDescent="0.3">
      <c r="B29" s="77" t="s">
        <v>86</v>
      </c>
      <c r="C29" s="80" t="s">
        <v>150</v>
      </c>
      <c r="D29" s="78" t="s">
        <v>105</v>
      </c>
      <c r="E29" s="79" t="s">
        <v>73</v>
      </c>
      <c r="J29" s="72" t="s">
        <v>119</v>
      </c>
      <c r="K29" s="72" t="s">
        <v>119</v>
      </c>
      <c r="L29" s="72" t="s">
        <v>119</v>
      </c>
      <c r="M29" s="72" t="s">
        <v>119</v>
      </c>
      <c r="N29" s="72" t="s">
        <v>119</v>
      </c>
      <c r="O29" s="72" t="s">
        <v>119</v>
      </c>
      <c r="P29" s="72" t="s">
        <v>119</v>
      </c>
      <c r="Q29" s="72" t="s">
        <v>119</v>
      </c>
      <c r="R29" s="72" t="s">
        <v>119</v>
      </c>
      <c r="S29" s="72" t="s">
        <v>119</v>
      </c>
      <c r="T29" s="72" t="s">
        <v>119</v>
      </c>
      <c r="U29" s="72" t="s">
        <v>119</v>
      </c>
      <c r="V29" s="72" t="s">
        <v>119</v>
      </c>
      <c r="W29" s="72" t="s">
        <v>119</v>
      </c>
      <c r="X29" s="72" t="s">
        <v>119</v>
      </c>
      <c r="Y29" s="72" t="s">
        <v>119</v>
      </c>
      <c r="Z29" s="72" t="s">
        <v>119</v>
      </c>
      <c r="AA29" s="72" t="s">
        <v>119</v>
      </c>
      <c r="AB29" s="72" t="s">
        <v>119</v>
      </c>
    </row>
    <row r="30" spans="2:30" ht="15.6" x14ac:dyDescent="0.3">
      <c r="B30" s="77" t="s">
        <v>87</v>
      </c>
      <c r="C30" s="80" t="s">
        <v>151</v>
      </c>
      <c r="D30" s="78" t="s">
        <v>106</v>
      </c>
      <c r="E30" s="79" t="s">
        <v>132</v>
      </c>
      <c r="J30" s="72" t="s">
        <v>120</v>
      </c>
      <c r="K30" s="72" t="s">
        <v>120</v>
      </c>
      <c r="L30" s="72" t="s">
        <v>120</v>
      </c>
      <c r="M30" s="72" t="s">
        <v>120</v>
      </c>
      <c r="N30" s="72" t="s">
        <v>120</v>
      </c>
      <c r="O30" s="72" t="s">
        <v>120</v>
      </c>
      <c r="P30" s="72" t="s">
        <v>120</v>
      </c>
      <c r="Q30" s="72" t="s">
        <v>120</v>
      </c>
      <c r="R30" s="72" t="s">
        <v>120</v>
      </c>
      <c r="S30" s="72" t="s">
        <v>120</v>
      </c>
      <c r="T30" s="72" t="s">
        <v>120</v>
      </c>
      <c r="U30" s="72" t="s">
        <v>120</v>
      </c>
      <c r="V30" s="72" t="s">
        <v>120</v>
      </c>
      <c r="W30" s="72" t="s">
        <v>120</v>
      </c>
      <c r="X30" s="72" t="s">
        <v>120</v>
      </c>
      <c r="Y30" s="72" t="s">
        <v>120</v>
      </c>
      <c r="Z30" s="72" t="s">
        <v>120</v>
      </c>
      <c r="AA30" s="72" t="s">
        <v>120</v>
      </c>
      <c r="AB30" s="72" t="s">
        <v>120</v>
      </c>
    </row>
    <row r="31" spans="2:30" ht="15.6" x14ac:dyDescent="0.3">
      <c r="B31" s="77" t="s">
        <v>88</v>
      </c>
      <c r="C31" s="80" t="s">
        <v>152</v>
      </c>
      <c r="D31" s="78" t="s">
        <v>107</v>
      </c>
      <c r="E31" s="79" t="s">
        <v>46</v>
      </c>
      <c r="J31" s="72" t="s">
        <v>121</v>
      </c>
      <c r="K31" s="72" t="s">
        <v>121</v>
      </c>
      <c r="L31" s="72" t="s">
        <v>121</v>
      </c>
      <c r="M31" s="72" t="s">
        <v>121</v>
      </c>
      <c r="N31" s="72" t="s">
        <v>121</v>
      </c>
      <c r="O31" s="72" t="s">
        <v>121</v>
      </c>
      <c r="P31" s="72" t="s">
        <v>121</v>
      </c>
      <c r="Q31" s="72" t="s">
        <v>121</v>
      </c>
      <c r="R31" s="72" t="s">
        <v>121</v>
      </c>
      <c r="S31" s="72" t="s">
        <v>121</v>
      </c>
      <c r="T31" s="72" t="s">
        <v>121</v>
      </c>
      <c r="U31" s="72" t="s">
        <v>121</v>
      </c>
      <c r="V31" s="72" t="s">
        <v>121</v>
      </c>
      <c r="W31" s="72" t="s">
        <v>121</v>
      </c>
      <c r="X31" s="72" t="s">
        <v>121</v>
      </c>
      <c r="Y31" s="72" t="s">
        <v>121</v>
      </c>
      <c r="Z31" s="72" t="s">
        <v>121</v>
      </c>
      <c r="AA31" s="72" t="s">
        <v>121</v>
      </c>
      <c r="AB31" s="72" t="s">
        <v>121</v>
      </c>
    </row>
    <row r="32" spans="2:30" ht="15.6" x14ac:dyDescent="0.3">
      <c r="B32" s="77" t="s">
        <v>89</v>
      </c>
      <c r="C32" s="80" t="s">
        <v>153</v>
      </c>
      <c r="D32" s="78" t="s">
        <v>108</v>
      </c>
      <c r="E32" s="79" t="s">
        <v>48</v>
      </c>
      <c r="J32" s="72" t="s">
        <v>122</v>
      </c>
      <c r="K32" s="72" t="s">
        <v>122</v>
      </c>
      <c r="L32" s="72" t="s">
        <v>122</v>
      </c>
      <c r="M32" s="72" t="s">
        <v>122</v>
      </c>
      <c r="N32" s="72" t="s">
        <v>122</v>
      </c>
      <c r="O32" s="72" t="s">
        <v>122</v>
      </c>
      <c r="P32" s="72" t="s">
        <v>122</v>
      </c>
      <c r="Q32" s="72" t="s">
        <v>122</v>
      </c>
      <c r="R32" s="72" t="s">
        <v>122</v>
      </c>
      <c r="S32" s="72" t="s">
        <v>122</v>
      </c>
      <c r="T32" s="72" t="s">
        <v>122</v>
      </c>
      <c r="U32" s="72" t="s">
        <v>122</v>
      </c>
      <c r="V32" s="72" t="s">
        <v>122</v>
      </c>
      <c r="W32" s="72" t="s">
        <v>122</v>
      </c>
      <c r="X32" s="72" t="s">
        <v>122</v>
      </c>
      <c r="Y32" s="72" t="s">
        <v>122</v>
      </c>
      <c r="Z32" s="72" t="s">
        <v>122</v>
      </c>
      <c r="AA32" s="72" t="s">
        <v>122</v>
      </c>
      <c r="AB32" s="72" t="s">
        <v>122</v>
      </c>
    </row>
    <row r="33" spans="2:28" ht="15.6" x14ac:dyDescent="0.3">
      <c r="B33" s="77" t="s">
        <v>90</v>
      </c>
      <c r="C33" s="80" t="s">
        <v>154</v>
      </c>
      <c r="D33" s="78" t="s">
        <v>109</v>
      </c>
      <c r="E33" s="79" t="s">
        <v>50</v>
      </c>
      <c r="J33" s="72" t="s">
        <v>123</v>
      </c>
      <c r="K33" s="72" t="s">
        <v>123</v>
      </c>
      <c r="L33" s="72" t="s">
        <v>123</v>
      </c>
      <c r="M33" s="72" t="s">
        <v>123</v>
      </c>
      <c r="N33" s="72" t="s">
        <v>123</v>
      </c>
      <c r="O33" s="72" t="s">
        <v>123</v>
      </c>
      <c r="P33" s="72" t="s">
        <v>123</v>
      </c>
      <c r="Q33" s="72" t="s">
        <v>123</v>
      </c>
      <c r="R33" s="72" t="s">
        <v>123</v>
      </c>
      <c r="S33" s="72" t="s">
        <v>123</v>
      </c>
      <c r="T33" s="72" t="s">
        <v>123</v>
      </c>
      <c r="U33" s="72" t="s">
        <v>123</v>
      </c>
      <c r="V33" s="72" t="s">
        <v>123</v>
      </c>
      <c r="W33" s="72" t="s">
        <v>123</v>
      </c>
      <c r="X33" s="72" t="s">
        <v>123</v>
      </c>
      <c r="Y33" s="72" t="s">
        <v>123</v>
      </c>
      <c r="Z33" s="72" t="s">
        <v>123</v>
      </c>
      <c r="AA33" s="72" t="s">
        <v>123</v>
      </c>
      <c r="AB33" s="72" t="s">
        <v>123</v>
      </c>
    </row>
    <row r="34" spans="2:28" ht="15.6" x14ac:dyDescent="0.3">
      <c r="B34" s="77" t="s">
        <v>91</v>
      </c>
      <c r="C34" s="80" t="s">
        <v>155</v>
      </c>
      <c r="D34" s="78" t="s">
        <v>110</v>
      </c>
      <c r="E34" s="79" t="s">
        <v>52</v>
      </c>
      <c r="J34" s="72" t="s">
        <v>124</v>
      </c>
      <c r="K34" s="72" t="s">
        <v>124</v>
      </c>
      <c r="L34" s="72" t="s">
        <v>124</v>
      </c>
      <c r="M34" s="72" t="s">
        <v>124</v>
      </c>
      <c r="N34" s="72" t="s">
        <v>124</v>
      </c>
      <c r="O34" s="72" t="s">
        <v>124</v>
      </c>
      <c r="P34" s="72" t="s">
        <v>124</v>
      </c>
      <c r="Q34" s="72" t="s">
        <v>124</v>
      </c>
      <c r="R34" s="72" t="s">
        <v>124</v>
      </c>
      <c r="S34" s="72" t="s">
        <v>124</v>
      </c>
      <c r="T34" s="72" t="s">
        <v>124</v>
      </c>
      <c r="U34" s="72" t="s">
        <v>124</v>
      </c>
      <c r="V34" s="72" t="s">
        <v>124</v>
      </c>
      <c r="W34" s="72" t="s">
        <v>124</v>
      </c>
      <c r="X34" s="72" t="s">
        <v>124</v>
      </c>
      <c r="Y34" s="72" t="s">
        <v>124</v>
      </c>
      <c r="Z34" s="72" t="s">
        <v>124</v>
      </c>
      <c r="AA34" s="72" t="s">
        <v>124</v>
      </c>
      <c r="AB34" s="72" t="s">
        <v>124</v>
      </c>
    </row>
    <row r="35" spans="2:28" ht="15.6" x14ac:dyDescent="0.3">
      <c r="B35" s="77" t="s">
        <v>92</v>
      </c>
      <c r="C35" s="80" t="s">
        <v>156</v>
      </c>
      <c r="D35" s="78" t="s">
        <v>111</v>
      </c>
      <c r="E35" s="79" t="s">
        <v>133</v>
      </c>
      <c r="J35" s="72" t="s">
        <v>125</v>
      </c>
      <c r="K35" s="72" t="s">
        <v>125</v>
      </c>
      <c r="L35" s="72" t="s">
        <v>125</v>
      </c>
      <c r="M35" s="72" t="s">
        <v>125</v>
      </c>
      <c r="N35" s="72" t="s">
        <v>125</v>
      </c>
      <c r="O35" s="72" t="s">
        <v>125</v>
      </c>
      <c r="P35" s="72" t="s">
        <v>125</v>
      </c>
      <c r="Q35" s="72" t="s">
        <v>125</v>
      </c>
      <c r="R35" s="72" t="s">
        <v>125</v>
      </c>
      <c r="S35" s="72" t="s">
        <v>125</v>
      </c>
      <c r="T35" s="72" t="s">
        <v>125</v>
      </c>
      <c r="U35" s="72" t="s">
        <v>125</v>
      </c>
      <c r="V35" s="72" t="s">
        <v>125</v>
      </c>
      <c r="W35" s="72" t="s">
        <v>125</v>
      </c>
      <c r="X35" s="72" t="s">
        <v>125</v>
      </c>
      <c r="Y35" s="72" t="s">
        <v>125</v>
      </c>
      <c r="Z35" s="72" t="s">
        <v>125</v>
      </c>
      <c r="AA35" s="72" t="s">
        <v>125</v>
      </c>
      <c r="AB35" s="72" t="s">
        <v>125</v>
      </c>
    </row>
    <row r="36" spans="2:28" ht="15.6" x14ac:dyDescent="0.3">
      <c r="B36" s="77" t="s">
        <v>93</v>
      </c>
      <c r="C36" s="80" t="s">
        <v>157</v>
      </c>
      <c r="D36" s="78" t="s">
        <v>112</v>
      </c>
      <c r="E36" s="79" t="s">
        <v>134</v>
      </c>
    </row>
    <row r="37" spans="2:28" ht="15.6" x14ac:dyDescent="0.3">
      <c r="B37" s="77" t="s">
        <v>94</v>
      </c>
      <c r="C37" s="80" t="s">
        <v>158</v>
      </c>
      <c r="D37" s="78" t="s">
        <v>113</v>
      </c>
      <c r="E37" s="79" t="s">
        <v>135</v>
      </c>
    </row>
    <row r="38" spans="2:28" ht="15.6" x14ac:dyDescent="0.3">
      <c r="B38" s="77" t="s">
        <v>95</v>
      </c>
      <c r="C38" s="80" t="s">
        <v>159</v>
      </c>
      <c r="D38" s="78" t="s">
        <v>114</v>
      </c>
      <c r="E38" s="79" t="s">
        <v>136</v>
      </c>
    </row>
    <row r="39" spans="2:28" ht="15.6" x14ac:dyDescent="0.3">
      <c r="B39" s="77" t="s">
        <v>160</v>
      </c>
      <c r="C39" s="80" t="s">
        <v>174</v>
      </c>
      <c r="D39" s="78" t="s">
        <v>115</v>
      </c>
      <c r="E39" s="79" t="s">
        <v>137</v>
      </c>
    </row>
    <row r="40" spans="2:28" ht="15.6" x14ac:dyDescent="0.3">
      <c r="B40" s="77" t="s">
        <v>161</v>
      </c>
      <c r="C40" s="80" t="s">
        <v>175</v>
      </c>
      <c r="D40" s="78" t="s">
        <v>116</v>
      </c>
      <c r="E40" s="79" t="s">
        <v>54</v>
      </c>
    </row>
    <row r="41" spans="2:28" ht="15.6" x14ac:dyDescent="0.3">
      <c r="B41" s="77"/>
      <c r="C41" s="80"/>
      <c r="D41" s="78" t="s">
        <v>126</v>
      </c>
      <c r="E41" s="79" t="s">
        <v>56</v>
      </c>
    </row>
    <row r="42" spans="2:28" ht="15.6" x14ac:dyDescent="0.3">
      <c r="B42" s="77"/>
      <c r="C42" s="80"/>
      <c r="D42" s="78" t="s">
        <v>117</v>
      </c>
      <c r="E42" s="79" t="s">
        <v>60</v>
      </c>
    </row>
    <row r="43" spans="2:28" ht="15.6" x14ac:dyDescent="0.3">
      <c r="B43" s="77"/>
      <c r="C43" s="80"/>
      <c r="D43" s="78" t="s">
        <v>118</v>
      </c>
      <c r="E43" s="79" t="s">
        <v>58</v>
      </c>
    </row>
    <row r="44" spans="2:28" ht="15.6" x14ac:dyDescent="0.3">
      <c r="B44" s="77"/>
      <c r="C44" s="80"/>
      <c r="D44" s="78" t="s">
        <v>119</v>
      </c>
      <c r="E44" s="79" t="s">
        <v>64</v>
      </c>
    </row>
    <row r="45" spans="2:28" ht="15.6" x14ac:dyDescent="0.3">
      <c r="B45" s="77"/>
      <c r="C45" s="80"/>
      <c r="D45" s="78" t="s">
        <v>120</v>
      </c>
      <c r="E45" s="79" t="s">
        <v>71</v>
      </c>
    </row>
    <row r="46" spans="2:28" ht="15.6" x14ac:dyDescent="0.3">
      <c r="B46" s="77"/>
      <c r="C46" s="80"/>
      <c r="D46" s="78" t="s">
        <v>121</v>
      </c>
      <c r="E46" s="79" t="s">
        <v>66</v>
      </c>
    </row>
    <row r="47" spans="2:28" ht="15.6" x14ac:dyDescent="0.3">
      <c r="B47" s="77"/>
      <c r="C47" s="80"/>
      <c r="D47" s="78" t="s">
        <v>122</v>
      </c>
      <c r="E47" s="79" t="s">
        <v>72</v>
      </c>
    </row>
    <row r="48" spans="2:28" ht="15.6" x14ac:dyDescent="0.3">
      <c r="B48" s="77"/>
      <c r="C48" s="80"/>
      <c r="D48" s="78" t="s">
        <v>123</v>
      </c>
      <c r="E48" s="79" t="s">
        <v>138</v>
      </c>
    </row>
    <row r="49" spans="2:5" ht="15.6" x14ac:dyDescent="0.3">
      <c r="B49" s="77"/>
      <c r="C49" s="80"/>
      <c r="D49" s="78" t="s">
        <v>124</v>
      </c>
      <c r="E49" s="79" t="s">
        <v>139</v>
      </c>
    </row>
    <row r="50" spans="2:5" ht="15.6" x14ac:dyDescent="0.3">
      <c r="B50" s="77"/>
      <c r="C50" s="80"/>
      <c r="D50" s="78" t="s">
        <v>125</v>
      </c>
      <c r="E50" s="79" t="s">
        <v>140</v>
      </c>
    </row>
    <row r="51" spans="2:5" ht="15.6" x14ac:dyDescent="0.3">
      <c r="B51" s="77"/>
      <c r="C51" s="80"/>
      <c r="D51" s="78" t="s">
        <v>96</v>
      </c>
      <c r="E51" s="79" t="s">
        <v>42</v>
      </c>
    </row>
    <row r="52" spans="2:5" ht="15.6" x14ac:dyDescent="0.3">
      <c r="B52" s="77"/>
      <c r="C52" s="80"/>
      <c r="D52" s="78" t="s">
        <v>97</v>
      </c>
      <c r="E52" s="79" t="s">
        <v>44</v>
      </c>
    </row>
    <row r="53" spans="2:5" ht="15.6" x14ac:dyDescent="0.3">
      <c r="B53" s="77"/>
      <c r="C53" s="80"/>
      <c r="D53" s="78" t="s">
        <v>98</v>
      </c>
      <c r="E53" s="79" t="s">
        <v>74</v>
      </c>
    </row>
    <row r="54" spans="2:5" ht="15.6" x14ac:dyDescent="0.3">
      <c r="B54" s="77"/>
      <c r="C54" s="80"/>
      <c r="D54" s="78" t="s">
        <v>99</v>
      </c>
      <c r="E54" s="79" t="s">
        <v>75</v>
      </c>
    </row>
    <row r="55" spans="2:5" ht="15.6" x14ac:dyDescent="0.3">
      <c r="B55" s="77"/>
      <c r="C55" s="80"/>
      <c r="D55" s="78" t="s">
        <v>100</v>
      </c>
      <c r="E55" s="79" t="s">
        <v>76</v>
      </c>
    </row>
    <row r="56" spans="2:5" ht="15.6" x14ac:dyDescent="0.3">
      <c r="B56" s="77"/>
      <c r="C56" s="80"/>
      <c r="D56" s="78" t="s">
        <v>101</v>
      </c>
      <c r="E56" s="79" t="s">
        <v>129</v>
      </c>
    </row>
    <row r="57" spans="2:5" ht="15.6" x14ac:dyDescent="0.3">
      <c r="B57" s="77"/>
      <c r="C57" s="80"/>
      <c r="D57" s="78" t="s">
        <v>102</v>
      </c>
      <c r="E57" s="79" t="s">
        <v>130</v>
      </c>
    </row>
    <row r="58" spans="2:5" ht="15.6" x14ac:dyDescent="0.3">
      <c r="B58" s="77"/>
      <c r="C58" s="80"/>
      <c r="D58" s="78" t="s">
        <v>162</v>
      </c>
      <c r="E58" s="79" t="s">
        <v>131</v>
      </c>
    </row>
    <row r="59" spans="2:5" ht="15.6" x14ac:dyDescent="0.3">
      <c r="B59" s="77"/>
      <c r="C59" s="80"/>
      <c r="D59" s="78" t="s">
        <v>163</v>
      </c>
      <c r="E59" s="79" t="s">
        <v>46</v>
      </c>
    </row>
    <row r="60" spans="2:5" ht="15.6" x14ac:dyDescent="0.3">
      <c r="B60" s="77"/>
      <c r="C60" s="80"/>
      <c r="D60" s="78" t="s">
        <v>164</v>
      </c>
      <c r="E60" s="79" t="s">
        <v>48</v>
      </c>
    </row>
    <row r="61" spans="2:5" ht="15.6" x14ac:dyDescent="0.3">
      <c r="B61" s="77"/>
      <c r="C61" s="80"/>
      <c r="D61" s="78" t="s">
        <v>165</v>
      </c>
      <c r="E61" s="79" t="s">
        <v>50</v>
      </c>
    </row>
    <row r="62" spans="2:5" ht="15.6" x14ac:dyDescent="0.3">
      <c r="B62" s="77"/>
      <c r="C62" s="80"/>
      <c r="D62" s="78" t="s">
        <v>166</v>
      </c>
      <c r="E62" s="79" t="s">
        <v>52</v>
      </c>
    </row>
    <row r="63" spans="2:5" ht="15.6" x14ac:dyDescent="0.3">
      <c r="B63" s="77"/>
      <c r="C63" s="80"/>
      <c r="D63" s="78" t="s">
        <v>167</v>
      </c>
      <c r="E63" s="79" t="s">
        <v>133</v>
      </c>
    </row>
    <row r="64" spans="2:5" ht="15.6" x14ac:dyDescent="0.3">
      <c r="B64" s="77"/>
      <c r="C64" s="80"/>
      <c r="D64" s="78" t="s">
        <v>168</v>
      </c>
      <c r="E64" s="79" t="s">
        <v>134</v>
      </c>
    </row>
    <row r="65" spans="2:5" ht="15.6" x14ac:dyDescent="0.3">
      <c r="B65" s="77"/>
      <c r="C65" s="80"/>
      <c r="D65" s="78" t="s">
        <v>169</v>
      </c>
      <c r="E65" s="79" t="s">
        <v>135</v>
      </c>
    </row>
    <row r="66" spans="2:5" ht="15.6" x14ac:dyDescent="0.3">
      <c r="B66" s="77"/>
      <c r="C66" s="80"/>
      <c r="D66" s="78" t="s">
        <v>170</v>
      </c>
      <c r="E66" s="79" t="s">
        <v>54</v>
      </c>
    </row>
    <row r="67" spans="2:5" ht="15.6" x14ac:dyDescent="0.3">
      <c r="B67" s="77"/>
      <c r="C67" s="80"/>
      <c r="D67" s="78" t="s">
        <v>117</v>
      </c>
      <c r="E67" s="79" t="s">
        <v>56</v>
      </c>
    </row>
    <row r="68" spans="2:5" ht="15.6" x14ac:dyDescent="0.3">
      <c r="B68" s="77"/>
      <c r="C68" s="80"/>
      <c r="D68" s="78" t="s">
        <v>171</v>
      </c>
      <c r="E68" s="79" t="s">
        <v>58</v>
      </c>
    </row>
    <row r="69" spans="2:5" ht="15.6" x14ac:dyDescent="0.3">
      <c r="B69" s="77"/>
      <c r="C69" s="80"/>
      <c r="D69" s="78" t="s">
        <v>172</v>
      </c>
      <c r="E69" s="79" t="s">
        <v>64</v>
      </c>
    </row>
    <row r="70" spans="2:5" ht="15.6" x14ac:dyDescent="0.3">
      <c r="B70" s="77"/>
      <c r="C70" s="80"/>
      <c r="D70" s="78" t="s">
        <v>121</v>
      </c>
      <c r="E70" s="79" t="s">
        <v>66</v>
      </c>
    </row>
    <row r="71" spans="2:5" ht="15.6" x14ac:dyDescent="0.3">
      <c r="B71" s="77"/>
      <c r="C71" s="80"/>
      <c r="D71" s="78" t="s">
        <v>173</v>
      </c>
      <c r="E71" s="79" t="s">
        <v>71</v>
      </c>
    </row>
    <row r="72" spans="2:5" ht="15.6" x14ac:dyDescent="0.3">
      <c r="B72" s="77"/>
      <c r="C72" s="80"/>
      <c r="D72" s="78"/>
      <c r="E72" s="79"/>
    </row>
    <row r="73" spans="2:5" ht="15.6" x14ac:dyDescent="0.3">
      <c r="B73" s="77"/>
      <c r="C73" s="80"/>
      <c r="D73" s="78"/>
      <c r="E73" s="79"/>
    </row>
    <row r="74" spans="2:5" ht="15.6" x14ac:dyDescent="0.3">
      <c r="B74" s="77"/>
      <c r="C74" s="80"/>
      <c r="D74" s="78"/>
      <c r="E74" s="79"/>
    </row>
    <row r="75" spans="2:5" ht="15.6" x14ac:dyDescent="0.3">
      <c r="B75" s="77"/>
      <c r="C75" s="80"/>
      <c r="D75" s="78"/>
      <c r="E75" s="81"/>
    </row>
    <row r="76" spans="2:5" ht="15.6" x14ac:dyDescent="0.3">
      <c r="B76" s="77"/>
      <c r="C76" s="82"/>
      <c r="D76" s="78"/>
      <c r="E76" s="81"/>
    </row>
    <row r="77" spans="2:5" ht="15.6" x14ac:dyDescent="0.3">
      <c r="B77" s="77"/>
      <c r="C77" s="82"/>
      <c r="D77" s="78"/>
      <c r="E77" s="81"/>
    </row>
    <row r="78" spans="2:5" ht="16.2" thickBot="1" x14ac:dyDescent="0.35">
      <c r="B78" s="83"/>
      <c r="C78" s="84"/>
      <c r="D78" s="85"/>
      <c r="E78" s="8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23</vt:i4>
      </vt:variant>
    </vt:vector>
  </HeadingPairs>
  <TitlesOfParts>
    <vt:vector size="25" baseType="lpstr">
      <vt:lpstr>DVF-3.1-FO05 LEGALIZA</vt:lpstr>
      <vt:lpstr>Hoja1</vt:lpstr>
      <vt:lpstr>ATLANTICO</vt:lpstr>
      <vt:lpstr>CALI</vt:lpstr>
      <vt:lpstr>CHOCO</vt:lpstr>
      <vt:lpstr>COORDINACION_ZONA_CENTRO</vt:lpstr>
      <vt:lpstr>COORDINACION_ZONA_SUR</vt:lpstr>
      <vt:lpstr>CORDOBA_CENTRAL</vt:lpstr>
      <vt:lpstr>LORICA</vt:lpstr>
      <vt:lpstr>NORTE_DE_ATLANTICO</vt:lpstr>
      <vt:lpstr>NORTE_DE_BOLIVAR</vt:lpstr>
      <vt:lpstr>NORTE_DE_CAUCA</vt:lpstr>
      <vt:lpstr>NORTE_DE_CORDOBA</vt:lpstr>
      <vt:lpstr>ORIENTE_DE_SUCRE</vt:lpstr>
      <vt:lpstr>PAS_COORDINACION_NACIONAL</vt:lpstr>
      <vt:lpstr>RIOFRIO_Y_TULUA</vt:lpstr>
      <vt:lpstr>RIOHACHA</vt:lpstr>
      <vt:lpstr>RUBRO</vt:lpstr>
      <vt:lpstr>SAN_SEBASTIAN</vt:lpstr>
      <vt:lpstr>SANTA_LUCIA</vt:lpstr>
      <vt:lpstr>SANTA_ROSA</vt:lpstr>
      <vt:lpstr>SUCRE_CENTRAL</vt:lpstr>
      <vt:lpstr>SUR_GUAJIRA</vt:lpstr>
      <vt:lpstr>VALLEDUPAR</vt:lpstr>
      <vt:lpstr>YARUMALES_PADILLA_PAILA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Universidad Autonoma de Occidente</dc:creator>
  <cp:lastModifiedBy>Nabil Zapata</cp:lastModifiedBy>
  <cp:lastPrinted>2026-01-19T22:23:33Z</cp:lastPrinted>
  <dcterms:created xsi:type="dcterms:W3CDTF">2008-07-09T13:27:38Z</dcterms:created>
  <dcterms:modified xsi:type="dcterms:W3CDTF">2026-04-27T19:13:19Z</dcterms:modified>
</cp:coreProperties>
</file>