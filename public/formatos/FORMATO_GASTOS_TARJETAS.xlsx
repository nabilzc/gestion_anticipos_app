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nda\OneDrive\Escritorio\ROMARIO\PRESUPUESTO FUNDAEC 2025\FORMATOS 2025\TARJETAS DE CREDITO y AHORROS\"/>
    </mc:Choice>
  </mc:AlternateContent>
  <bookViews>
    <workbookView xWindow="0" yWindow="0" windowWidth="23040" windowHeight="8784"/>
  </bookViews>
  <sheets>
    <sheet name="DVF-3.1-FO05 LEGALIZA" sheetId="1" r:id="rId1"/>
    <sheet name="Hoja1" sheetId="2" state="hidden" r:id="rId2"/>
  </sheets>
  <calcPr calcId="162913"/>
  <extLst>
    <ext uri="GoogleSheetsCustomDataVersion2">
      <go:sheetsCustomData xmlns:go="http://customooxmlschemas.google.com/" r:id="rId5" roundtripDataChecksum="nOG9VItnDvcm6lSPsB9tupdTKQC5cUkmIzcJPAK8prE="/>
    </ext>
  </extLst>
</workbook>
</file>

<file path=xl/calcChain.xml><?xml version="1.0" encoding="utf-8"?>
<calcChain xmlns="http://schemas.openxmlformats.org/spreadsheetml/2006/main">
  <c r="F8" i="1" l="1"/>
  <c r="F7" i="1"/>
  <c r="J36" i="1"/>
  <c r="J37" i="1"/>
  <c r="J26" i="1"/>
  <c r="J27" i="1"/>
  <c r="J28" i="1"/>
  <c r="J29" i="1"/>
  <c r="J30" i="1"/>
  <c r="J31" i="1"/>
  <c r="J32" i="1"/>
  <c r="J33" i="1"/>
  <c r="J34" i="1"/>
  <c r="J35" i="1"/>
  <c r="J38" i="1"/>
  <c r="J39" i="1"/>
  <c r="J40" i="1"/>
  <c r="J41" i="1"/>
  <c r="J42" i="1"/>
  <c r="J43" i="1"/>
  <c r="J44" i="1"/>
  <c r="J25" i="1"/>
</calcChain>
</file>

<file path=xl/sharedStrings.xml><?xml version="1.0" encoding="utf-8"?>
<sst xmlns="http://schemas.openxmlformats.org/spreadsheetml/2006/main" count="137" uniqueCount="137">
  <si>
    <t xml:space="preserve">FECHA </t>
  </si>
  <si>
    <t>INFORMACIÓN DEL RESPONSABLE DEL ANTICIPO</t>
  </si>
  <si>
    <t>NOMBRE:</t>
  </si>
  <si>
    <t>ÁREA:</t>
  </si>
  <si>
    <t>CARGO:</t>
  </si>
  <si>
    <t>NIT</t>
  </si>
  <si>
    <t>OBSERVACIONES</t>
  </si>
  <si>
    <t>TRANSPORTE</t>
  </si>
  <si>
    <t>PESOS COLOMBIANOS</t>
  </si>
  <si>
    <t>HOSPEDAJE</t>
  </si>
  <si>
    <t>DÓLARES</t>
  </si>
  <si>
    <t>ALIMENTACION</t>
  </si>
  <si>
    <t>EUROS</t>
  </si>
  <si>
    <t>TARJETA DE TURISMO</t>
  </si>
  <si>
    <t>COSTOS DE VISA</t>
  </si>
  <si>
    <t>GASTO CONSULAR</t>
  </si>
  <si>
    <t xml:space="preserve">IMPUESTOS MIGRATORIOS </t>
  </si>
  <si>
    <t>SEGURO MEDICO</t>
  </si>
  <si>
    <r>
      <rPr>
        <sz val="10"/>
        <color rgb="FF0070C0"/>
        <rFont val="Tahoma"/>
        <family val="2"/>
      </rPr>
      <t>OTROS GASTOS</t>
    </r>
    <r>
      <rPr>
        <sz val="6"/>
        <color rgb="FF0070C0"/>
        <rFont val="Tahoma"/>
        <family val="2"/>
      </rPr>
      <t xml:space="preserve"> (Resolución Comisiones Univ)</t>
    </r>
  </si>
  <si>
    <t>COMPRAS DE BIENES Y SERVICIOS-FESTIVAL EVENTOS INSTIT</t>
  </si>
  <si>
    <t>DESTINO MATERIALES Y SUMINISTROS</t>
  </si>
  <si>
    <t>GTOS LEGALES - TRAMITES Y LICENCIAS</t>
  </si>
  <si>
    <t>CLAVE DESPROTEGER HOJA EN MINUSCULAS : UAO</t>
  </si>
  <si>
    <t>TARJETAS DE CREDITO</t>
  </si>
  <si>
    <t>Firma</t>
  </si>
  <si>
    <t>Fecha</t>
  </si>
  <si>
    <t>Rubro Programa</t>
  </si>
  <si>
    <t>Monto COP</t>
  </si>
  <si>
    <t>Monto USD</t>
  </si>
  <si>
    <t>Beneficiario</t>
  </si>
  <si>
    <t>Detalles</t>
  </si>
  <si>
    <t>Codigo Contabilidad</t>
  </si>
  <si>
    <t>CENTRO DE COSTO</t>
  </si>
  <si>
    <t>CODIGO</t>
  </si>
  <si>
    <t>COORDINACION NACIONAL/Materiales de oficina</t>
  </si>
  <si>
    <t>4711</t>
  </si>
  <si>
    <t>COORDINACION NACIONAL/Otros gastos (Dotacion)</t>
  </si>
  <si>
    <t>4712</t>
  </si>
  <si>
    <t>COORDINACION NACIONAL/Tiquetes aereos</t>
  </si>
  <si>
    <t>4721</t>
  </si>
  <si>
    <t>COORDINACION NACIONAL/Transporte interno</t>
  </si>
  <si>
    <t>4722</t>
  </si>
  <si>
    <t>COORDINACION NACIONAL/Hospedaje</t>
  </si>
  <si>
    <t>4723</t>
  </si>
  <si>
    <t>COORDINACION NACIONAL/Alimentación</t>
  </si>
  <si>
    <t>4724</t>
  </si>
  <si>
    <t>COORDINACION NACIONAL/Tiquete Aereos - asesoria exter</t>
  </si>
  <si>
    <t>4731</t>
  </si>
  <si>
    <t>COORDINACION NACIONAL/Transp Local - asesoria exter</t>
  </si>
  <si>
    <t>4732</t>
  </si>
  <si>
    <t>COORDINACION NACIONAL/Hospedaje - asesoria exter</t>
  </si>
  <si>
    <t>4733</t>
  </si>
  <si>
    <t>COORDINACION NACIONAL/Alimentación - asesoria exter</t>
  </si>
  <si>
    <t>4734</t>
  </si>
  <si>
    <t>COORDINACION NACIONAL/Honorarios - asesoria exter</t>
  </si>
  <si>
    <t>4735</t>
  </si>
  <si>
    <t>COORDINACION NACIONAL/Encuentro Nacional</t>
  </si>
  <si>
    <t>4741</t>
  </si>
  <si>
    <t>COORDINACION NACIONAL/Encuentro Regional</t>
  </si>
  <si>
    <t>4742</t>
  </si>
  <si>
    <t>COORDINACION NACIONAL/Personal</t>
  </si>
  <si>
    <t>4751</t>
  </si>
  <si>
    <t>COORDINACION NACIONAL/Pasantía</t>
  </si>
  <si>
    <t>4761</t>
  </si>
  <si>
    <t>ADMINISTRACION GENERAL</t>
  </si>
  <si>
    <t>0199</t>
  </si>
  <si>
    <t>ECHIDNA</t>
  </si>
  <si>
    <t>1811</t>
  </si>
  <si>
    <t>50 AÑOS/eventos</t>
  </si>
  <si>
    <t>1511</t>
  </si>
  <si>
    <t>50 AÑOS/book tour</t>
  </si>
  <si>
    <t>1512</t>
  </si>
  <si>
    <t>50 AÑOS/asistente de direccion</t>
  </si>
  <si>
    <t>1521</t>
  </si>
  <si>
    <t>50 AÑOS/director produccion audiovisual</t>
  </si>
  <si>
    <t>1522</t>
  </si>
  <si>
    <t>50 AÑOS/transportes director de produccion</t>
  </si>
  <si>
    <t>1523</t>
  </si>
  <si>
    <t>50 AÑOS/dotacion</t>
  </si>
  <si>
    <t>1531</t>
  </si>
  <si>
    <t>50 AÑOS/arriendo</t>
  </si>
  <si>
    <t>1532</t>
  </si>
  <si>
    <t>50 AÑOS/marketing del evento</t>
  </si>
  <si>
    <t>1541</t>
  </si>
  <si>
    <t>50 AÑOS/material promocional</t>
  </si>
  <si>
    <t>1542</t>
  </si>
  <si>
    <t>50 AÑOS/cena de fundadores</t>
  </si>
  <si>
    <t>1551</t>
  </si>
  <si>
    <t>50 AÑOS/dotacion empleados</t>
  </si>
  <si>
    <t>1561</t>
  </si>
  <si>
    <t>50 AÑOS/fotografia y video</t>
  </si>
  <si>
    <t>1571</t>
  </si>
  <si>
    <t>50 AÑOS/papeleria(agendas)</t>
  </si>
  <si>
    <t>1581</t>
  </si>
  <si>
    <t>50 AÑOS/imprevistos</t>
  </si>
  <si>
    <t>1582</t>
  </si>
  <si>
    <t>CULTIVANDO/facilitador cursos y talleres</t>
  </si>
  <si>
    <t>CULTIVANDO/materiales educativos</t>
  </si>
  <si>
    <t>CULTIVANDO/costos locales de capacitacion</t>
  </si>
  <si>
    <t>CULTIVANDO/asesorias y consultorias (ciat)</t>
  </si>
  <si>
    <t>CULTIVANDO/fondo semilla</t>
  </si>
  <si>
    <t>CULTIVANDO/insumos finca integral</t>
  </si>
  <si>
    <t>CULTIVANDO/herramientas y mantenimientos finca integral</t>
  </si>
  <si>
    <t>CULTIVANDO/proyectos productivos y de servicios</t>
  </si>
  <si>
    <t>CULTIVANDO/otros gastos finca integral</t>
  </si>
  <si>
    <t>CULTIVANDO/encuentro y reuniones</t>
  </si>
  <si>
    <t>CULTIVANDO/transporte interno</t>
  </si>
  <si>
    <t>CULTIVANDO/fiscal sponsorship mona</t>
  </si>
  <si>
    <t>CULTIVANDO/administracion</t>
  </si>
  <si>
    <t>CENTROS ESPECIALES/equipos tecnologicos</t>
  </si>
  <si>
    <t>2011</t>
  </si>
  <si>
    <t>CENTROS ESPECIALES/plataformas y suscripciones</t>
  </si>
  <si>
    <t>2012</t>
  </si>
  <si>
    <t>CENTROS ESPECIALES/produccion de materiales audiovisuales</t>
  </si>
  <si>
    <t>2013</t>
  </si>
  <si>
    <t>CENTROS ESPECIALES/eventos</t>
  </si>
  <si>
    <t>2014</t>
  </si>
  <si>
    <t>CENTROS ESPECIALES/personal</t>
  </si>
  <si>
    <t>2015</t>
  </si>
  <si>
    <t>CUBR GASTOS</t>
  </si>
  <si>
    <t>2111</t>
  </si>
  <si>
    <t>N. TARJETA</t>
  </si>
  <si>
    <t>TOTAL GASTOS PESOS</t>
  </si>
  <si>
    <t>TOTAL GASTOS DOLARES</t>
  </si>
  <si>
    <t>2221</t>
  </si>
  <si>
    <t>2222</t>
  </si>
  <si>
    <t>2223</t>
  </si>
  <si>
    <t>2224</t>
  </si>
  <si>
    <t>2231</t>
  </si>
  <si>
    <t>2241</t>
  </si>
  <si>
    <t>2242</t>
  </si>
  <si>
    <t>2243</t>
  </si>
  <si>
    <t>2244</t>
  </si>
  <si>
    <t>2252</t>
  </si>
  <si>
    <t>2271</t>
  </si>
  <si>
    <t>2272</t>
  </si>
  <si>
    <t>2273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</si>
</sst>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\ * #,##0.00_-;\-&quot;$&quot;\ * #,##0.00_-;_-&quot;$&quot;\ * &quot;-&quot;??_-;_-@_-"/>
    <numFmt numFmtId="164" formatCode="d/m/yyyy"/>
    <numFmt numFmtId="165" formatCode="_(&quot;$&quot;\ * #,##0.00_);_(&quot;$&quot;\ * \(#,##0.00\);_(&quot;$&quot;\ * &quot;-&quot;??_);_(@_)"/>
    <numFmt numFmtId="166" formatCode="_(&quot;$&quot;\ * #,##0_);_(&quot;$&quot;\ * \(#,##0\);_(&quot;$&quot;\ * &quot;-&quot;??_);_(@_)"/>
    <numFmt numFmtId="167" formatCode="_-&quot;$&quot;\ * #,##0_-;\-&quot;$&quot;\ * #,##0_-;_-&quot;$&quot;\ * &quot;-&quot;??_-;_-@_-"/>
    <numFmt numFmtId="168" formatCode="[$USD]\ #,##0.00"/>
    <numFmt numFmtId="169" formatCode="[$COP]\ #,##0"/>
  </numFmts>
  <fonts count="2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b/>
      <sz val="18"/>
      <color theme="1"/>
      <name val="Tahoma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7F7F7F"/>
      <name val="Arial"/>
      <family val="2"/>
    </font>
    <font>
      <sz val="9"/>
      <color theme="1"/>
      <name val="Arial"/>
      <family val="2"/>
    </font>
    <font>
      <b/>
      <sz val="10"/>
      <color theme="1"/>
      <name val="Tahoma"/>
      <family val="2"/>
    </font>
    <font>
      <sz val="10"/>
      <color rgb="FF0070C0"/>
      <name val="Tahoma"/>
      <family val="2"/>
    </font>
    <font>
      <sz val="6"/>
      <color rgb="FF0070C0"/>
      <name val="Tahoma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9CD71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44" fontId="18" fillId="0" borderId="0" applyFont="0" applyFill="0" applyBorder="0" applyAlignment="0" applyProtection="0"/>
    <xf numFmtId="0" fontId="22" fillId="0" borderId="25"/>
  </cellStyleXfs>
  <cellXfs count="140">
    <xf numFmtId="0" fontId="0" fillId="0" borderId="0" xfId="0" applyFont="1" applyAlignment="1"/>
    <xf numFmtId="0" fontId="1" fillId="0" borderId="1" xfId="0" applyFont="1" applyBorder="1"/>
    <xf numFmtId="164" fontId="2" fillId="0" borderId="1" xfId="0" applyNumberFormat="1" applyFont="1" applyBorder="1"/>
    <xf numFmtId="164" fontId="2" fillId="0" borderId="2" xfId="0" applyNumberFormat="1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3" fillId="0" borderId="4" xfId="0" applyFont="1" applyBorder="1"/>
    <xf numFmtId="0" fontId="3" fillId="0" borderId="9" xfId="0" applyFont="1" applyBorder="1"/>
    <xf numFmtId="0" fontId="1" fillId="0" borderId="4" xfId="0" applyFont="1" applyBorder="1"/>
    <xf numFmtId="0" fontId="1" fillId="0" borderId="0" xfId="0" applyFont="1"/>
    <xf numFmtId="0" fontId="7" fillId="0" borderId="0" xfId="0" applyFont="1"/>
    <xf numFmtId="0" fontId="7" fillId="0" borderId="4" xfId="0" applyFont="1" applyBorder="1"/>
    <xf numFmtId="0" fontId="8" fillId="0" borderId="0" xfId="0" applyFont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4" xfId="0" applyFont="1" applyBorder="1" applyAlignment="1">
      <alignment vertical="center"/>
    </xf>
    <xf numFmtId="0" fontId="10" fillId="0" borderId="0" xfId="0" applyFont="1" applyAlignment="1">
      <alignment horizontal="right"/>
    </xf>
    <xf numFmtId="165" fontId="10" fillId="0" borderId="0" xfId="0" applyNumberFormat="1" applyFont="1" applyAlignment="1">
      <alignment horizontal="left"/>
    </xf>
    <xf numFmtId="0" fontId="7" fillId="0" borderId="13" xfId="0" applyFont="1" applyBorder="1"/>
    <xf numFmtId="0" fontId="7" fillId="0" borderId="2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7" fillId="0" borderId="4" xfId="0" applyFont="1" applyBorder="1" applyAlignment="1">
      <alignment horizontal="center"/>
    </xf>
    <xf numFmtId="0" fontId="13" fillId="0" borderId="0" xfId="0" applyFont="1"/>
    <xf numFmtId="0" fontId="10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7" fillId="0" borderId="26" xfId="0" applyFont="1" applyBorder="1"/>
    <xf numFmtId="0" fontId="7" fillId="0" borderId="13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14" fillId="0" borderId="19" xfId="0" applyFont="1" applyBorder="1" applyAlignment="1">
      <alignment horizontal="right"/>
    </xf>
    <xf numFmtId="0" fontId="3" fillId="0" borderId="20" xfId="0" applyFont="1" applyBorder="1"/>
    <xf numFmtId="0" fontId="15" fillId="0" borderId="0" xfId="0" applyFont="1"/>
    <xf numFmtId="0" fontId="0" fillId="0" borderId="0" xfId="0" applyFont="1" applyAlignment="1"/>
    <xf numFmtId="0" fontId="7" fillId="0" borderId="25" xfId="0" applyFont="1" applyBorder="1"/>
    <xf numFmtId="0" fontId="7" fillId="0" borderId="25" xfId="0" applyFont="1" applyBorder="1" applyAlignment="1">
      <alignment horizontal="center" vertical="center"/>
    </xf>
    <xf numFmtId="0" fontId="7" fillId="0" borderId="10" xfId="0" applyFont="1" applyBorder="1" applyAlignment="1"/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5" fillId="0" borderId="25" xfId="0" applyFont="1" applyBorder="1" applyAlignment="1">
      <alignment wrapText="1"/>
    </xf>
    <xf numFmtId="0" fontId="7" fillId="0" borderId="22" xfId="0" applyFont="1" applyBorder="1" applyAlignment="1">
      <alignment vertical="center"/>
    </xf>
    <xf numFmtId="0" fontId="19" fillId="0" borderId="25" xfId="0" applyFont="1" applyBorder="1" applyAlignment="1"/>
    <xf numFmtId="0" fontId="7" fillId="0" borderId="25" xfId="0" applyFont="1" applyBorder="1" applyAlignment="1">
      <alignment wrapText="1"/>
    </xf>
    <xf numFmtId="0" fontId="17" fillId="0" borderId="4" xfId="0" applyFont="1" applyBorder="1" applyAlignment="1">
      <alignment vertical="center"/>
    </xf>
    <xf numFmtId="166" fontId="10" fillId="3" borderId="25" xfId="0" applyNumberFormat="1" applyFont="1" applyFill="1" applyBorder="1"/>
    <xf numFmtId="0" fontId="7" fillId="3" borderId="25" xfId="0" applyFont="1" applyFill="1" applyBorder="1"/>
    <xf numFmtId="0" fontId="1" fillId="3" borderId="0" xfId="0" applyFont="1" applyFill="1" applyAlignment="1">
      <alignment horizontal="right"/>
    </xf>
    <xf numFmtId="166" fontId="10" fillId="3" borderId="10" xfId="0" applyNumberFormat="1" applyFont="1" applyFill="1" applyBorder="1"/>
    <xf numFmtId="0" fontId="0" fillId="0" borderId="0" xfId="0" applyFont="1" applyAlignment="1"/>
    <xf numFmtId="0" fontId="7" fillId="0" borderId="7" xfId="0" applyFont="1" applyBorder="1" applyAlignment="1">
      <alignment horizontal="center" vertical="center" wrapText="1"/>
    </xf>
    <xf numFmtId="14" fontId="7" fillId="0" borderId="22" xfId="0" applyNumberFormat="1" applyFont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49" fontId="23" fillId="0" borderId="39" xfId="2" applyNumberFormat="1" applyFont="1" applyBorder="1" applyAlignment="1">
      <alignment vertical="center"/>
    </xf>
    <xf numFmtId="0" fontId="24" fillId="0" borderId="40" xfId="2" applyFont="1" applyBorder="1" applyAlignment="1">
      <alignment horizontal="left" indent="3"/>
    </xf>
    <xf numFmtId="49" fontId="24" fillId="0" borderId="41" xfId="2" applyNumberFormat="1" applyFont="1" applyFill="1" applyBorder="1" applyAlignment="1">
      <alignment vertical="center"/>
    </xf>
    <xf numFmtId="49" fontId="24" fillId="0" borderId="41" xfId="2" applyNumberFormat="1" applyFont="1" applyBorder="1" applyAlignment="1">
      <alignment vertical="center"/>
    </xf>
    <xf numFmtId="0" fontId="24" fillId="0" borderId="42" xfId="2" applyFont="1" applyBorder="1" applyAlignment="1">
      <alignment horizontal="left" indent="3"/>
    </xf>
    <xf numFmtId="49" fontId="24" fillId="0" borderId="43" xfId="2" applyNumberFormat="1" applyFont="1" applyBorder="1" applyAlignment="1">
      <alignment vertical="center"/>
    </xf>
    <xf numFmtId="0" fontId="7" fillId="0" borderId="6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5" fillId="0" borderId="44" xfId="0" applyFont="1" applyBorder="1" applyAlignment="1"/>
    <xf numFmtId="0" fontId="5" fillId="0" borderId="47" xfId="0" applyFont="1" applyBorder="1" applyAlignment="1"/>
    <xf numFmtId="4" fontId="25" fillId="3" borderId="48" xfId="0" applyNumberFormat="1" applyFont="1" applyFill="1" applyBorder="1" applyProtection="1">
      <protection locked="0"/>
    </xf>
    <xf numFmtId="166" fontId="27" fillId="0" borderId="10" xfId="0" applyNumberFormat="1" applyFont="1" applyBorder="1"/>
    <xf numFmtId="44" fontId="27" fillId="0" borderId="49" xfId="1" applyFont="1" applyBorder="1" applyAlignment="1"/>
    <xf numFmtId="168" fontId="7" fillId="0" borderId="22" xfId="0" applyNumberFormat="1" applyFont="1" applyBorder="1" applyAlignment="1">
      <alignment horizontal="center" vertical="center" wrapText="1"/>
    </xf>
    <xf numFmtId="168" fontId="7" fillId="0" borderId="8" xfId="0" applyNumberFormat="1" applyFont="1" applyBorder="1" applyAlignment="1">
      <alignment horizontal="center" vertical="center" wrapText="1"/>
    </xf>
    <xf numFmtId="169" fontId="7" fillId="0" borderId="22" xfId="0" applyNumberFormat="1" applyFont="1" applyBorder="1" applyAlignment="1">
      <alignment horizontal="center" vertical="center" wrapText="1"/>
    </xf>
    <xf numFmtId="169" fontId="7" fillId="0" borderId="8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/>
    <xf numFmtId="164" fontId="7" fillId="0" borderId="7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0" fontId="10" fillId="3" borderId="2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3" borderId="25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5" fillId="0" borderId="12" xfId="0" applyFont="1" applyBorder="1"/>
    <xf numFmtId="0" fontId="10" fillId="0" borderId="0" xfId="0" applyFont="1" applyAlignment="1">
      <alignment horizontal="center" vertical="center"/>
    </xf>
    <xf numFmtId="167" fontId="21" fillId="0" borderId="34" xfId="1" applyNumberFormat="1" applyFont="1" applyBorder="1" applyAlignment="1" applyProtection="1">
      <alignment horizontal="center" vertical="center" wrapText="1"/>
      <protection locked="0"/>
    </xf>
    <xf numFmtId="167" fontId="21" fillId="0" borderId="32" xfId="1" applyNumberFormat="1" applyFont="1" applyBorder="1" applyAlignment="1" applyProtection="1">
      <alignment horizontal="center" vertical="center" wrapText="1"/>
      <protection locked="0"/>
    </xf>
    <xf numFmtId="167" fontId="21" fillId="0" borderId="34" xfId="1" applyNumberFormat="1" applyFont="1" applyBorder="1" applyAlignment="1" applyProtection="1">
      <alignment horizontal="center" vertical="center"/>
      <protection locked="0"/>
    </xf>
    <xf numFmtId="167" fontId="21" fillId="0" borderId="32" xfId="1" applyNumberFormat="1" applyFont="1" applyBorder="1" applyAlignment="1" applyProtection="1">
      <alignment horizontal="center" vertical="center"/>
      <protection locked="0"/>
    </xf>
    <xf numFmtId="164" fontId="7" fillId="0" borderId="10" xfId="0" applyNumberFormat="1" applyFont="1" applyBorder="1" applyAlignment="1">
      <alignment horizontal="center" vertical="center" wrapText="1"/>
    </xf>
    <xf numFmtId="0" fontId="5" fillId="0" borderId="23" xfId="0" applyFont="1" applyBorder="1"/>
    <xf numFmtId="164" fontId="7" fillId="0" borderId="25" xfId="0" applyNumberFormat="1" applyFont="1" applyBorder="1" applyAlignment="1">
      <alignment horizontal="center" vertical="center" wrapText="1"/>
    </xf>
    <xf numFmtId="0" fontId="5" fillId="0" borderId="24" xfId="0" applyFont="1" applyBorder="1"/>
    <xf numFmtId="0" fontId="0" fillId="0" borderId="0" xfId="0" applyFont="1" applyAlignment="1"/>
    <xf numFmtId="0" fontId="10" fillId="2" borderId="14" xfId="0" applyFont="1" applyFill="1" applyBorder="1" applyAlignment="1">
      <alignment horizontal="center"/>
    </xf>
    <xf numFmtId="0" fontId="5" fillId="0" borderId="15" xfId="0" applyFont="1" applyBorder="1"/>
    <xf numFmtId="0" fontId="5" fillId="0" borderId="16" xfId="0" applyFont="1" applyBorder="1"/>
    <xf numFmtId="0" fontId="21" fillId="0" borderId="33" xfId="0" applyFont="1" applyBorder="1" applyAlignment="1" applyProtection="1">
      <alignment horizontal="center" vertical="center"/>
      <protection locked="0"/>
    </xf>
    <xf numFmtId="0" fontId="21" fillId="0" borderId="31" xfId="0" applyFont="1" applyBorder="1" applyAlignment="1" applyProtection="1">
      <alignment horizontal="center" vertical="center"/>
      <protection locked="0"/>
    </xf>
    <xf numFmtId="0" fontId="21" fillId="0" borderId="34" xfId="0" applyFont="1" applyBorder="1" applyAlignment="1" applyProtection="1">
      <alignment horizontal="center" vertical="center" wrapText="1"/>
      <protection locked="0"/>
    </xf>
    <xf numFmtId="0" fontId="21" fillId="0" borderId="32" xfId="0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49" fontId="21" fillId="0" borderId="27" xfId="0" applyNumberFormat="1" applyFont="1" applyBorder="1" applyAlignment="1" applyProtection="1">
      <alignment horizontal="center" vertical="center"/>
      <protection locked="0"/>
    </xf>
    <xf numFmtId="49" fontId="21" fillId="0" borderId="36" xfId="0" applyNumberFormat="1" applyFont="1" applyBorder="1" applyAlignment="1" applyProtection="1">
      <alignment horizontal="center" vertical="center"/>
      <protection locked="0"/>
    </xf>
    <xf numFmtId="49" fontId="21" fillId="0" borderId="44" xfId="0" applyNumberFormat="1" applyFont="1" applyBorder="1" applyAlignment="1" applyProtection="1">
      <alignment horizontal="center" vertical="center"/>
      <protection locked="0"/>
    </xf>
    <xf numFmtId="49" fontId="21" fillId="0" borderId="46" xfId="0" applyNumberFormat="1" applyFont="1" applyBorder="1" applyAlignment="1" applyProtection="1">
      <alignment horizontal="center" vertical="center"/>
      <protection locked="0"/>
    </xf>
    <xf numFmtId="49" fontId="21" fillId="0" borderId="25" xfId="0" applyNumberFormat="1" applyFont="1" applyBorder="1" applyAlignment="1" applyProtection="1">
      <alignment horizontal="center" vertical="center"/>
      <protection locked="0"/>
    </xf>
    <xf numFmtId="49" fontId="21" fillId="0" borderId="35" xfId="0" applyNumberFormat="1" applyFont="1" applyBorder="1" applyAlignment="1" applyProtection="1">
      <alignment horizontal="center" vertical="center"/>
      <protection locked="0"/>
    </xf>
    <xf numFmtId="49" fontId="21" fillId="0" borderId="45" xfId="0" applyNumberFormat="1" applyFont="1" applyBorder="1" applyAlignment="1" applyProtection="1">
      <alignment horizontal="center" vertical="center"/>
      <protection locked="0"/>
    </xf>
    <xf numFmtId="49" fontId="21" fillId="0" borderId="37" xfId="0" applyNumberFormat="1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0" fontId="4" fillId="0" borderId="8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12" fillId="4" borderId="25" xfId="0" applyFont="1" applyFill="1" applyBorder="1" applyAlignment="1">
      <alignment horizontal="center"/>
    </xf>
    <xf numFmtId="0" fontId="26" fillId="0" borderId="0" xfId="0" applyFont="1" applyAlignment="1">
      <alignment horizontal="center" vertical="center"/>
    </xf>
  </cellXfs>
  <cellStyles count="3">
    <cellStyle name="Moneda" xfId="1" builtinId="4"/>
    <cellStyle name="Normal" xfId="0" builtinId="0"/>
    <cellStyle name="Normal 2" xfId="2"/>
  </cellStyles>
  <dxfs count="2"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220981</xdr:colOff>
      <xdr:row>1</xdr:row>
      <xdr:rowOff>106680</xdr:rowOff>
    </xdr:from>
    <xdr:ext cx="2301240" cy="457200"/>
    <xdr:pic>
      <xdr:nvPicPr>
        <xdr:cNvPr id="2" name="image1.png"/>
        <xdr:cNvPicPr preferRelativeResize="0"/>
      </xdr:nvPicPr>
      <xdr:blipFill rotWithShape="1">
        <a:blip xmlns:r="http://schemas.openxmlformats.org/officeDocument/2006/relationships" r:embed="rId1" cstate="print"/>
        <a:srcRect t="31438" b="28428"/>
        <a:stretch/>
      </xdr:blipFill>
      <xdr:spPr>
        <a:xfrm>
          <a:off x="8008621" y="198120"/>
          <a:ext cx="230124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0"/>
  <sheetViews>
    <sheetView showGridLines="0" tabSelected="1" view="pageBreakPreview" zoomScaleNormal="100" zoomScaleSheetLayoutView="100" workbookViewId="0">
      <selection activeCell="J25" sqref="J25"/>
    </sheetView>
  </sheetViews>
  <sheetFormatPr baseColWidth="10" defaultColWidth="12.5546875" defaultRowHeight="15" customHeight="1" x14ac:dyDescent="0.25"/>
  <cols>
    <col min="1" max="1" width="1.88671875" customWidth="1"/>
    <col min="2" max="2" width="13.109375" customWidth="1"/>
    <col min="3" max="3" width="38.77734375" customWidth="1"/>
    <col min="4" max="4" width="18.77734375" bestFit="1" customWidth="1"/>
    <col min="5" max="5" width="15.77734375" bestFit="1" customWidth="1"/>
    <col min="6" max="6" width="13.109375" customWidth="1"/>
    <col min="7" max="7" width="12.109375" customWidth="1"/>
    <col min="8" max="8" width="14.5546875" customWidth="1"/>
    <col min="9" max="9" width="18.44140625" customWidth="1"/>
    <col min="10" max="10" width="18.77734375" bestFit="1" customWidth="1"/>
    <col min="11" max="11" width="1.5546875" customWidth="1"/>
    <col min="12" max="15" width="11.44140625" customWidth="1"/>
    <col min="16" max="27" width="10.5546875" customWidth="1"/>
  </cols>
  <sheetData>
    <row r="1" spans="1:27" ht="7.5" customHeight="1" x14ac:dyDescent="0.25">
      <c r="A1" s="1"/>
      <c r="B1" s="2"/>
      <c r="C1" s="3"/>
      <c r="D1" s="3"/>
      <c r="E1" s="4"/>
      <c r="F1" s="4"/>
      <c r="G1" s="4"/>
      <c r="H1" s="4"/>
      <c r="I1" s="4"/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48" customHeight="1" x14ac:dyDescent="0.25">
      <c r="A2" s="7"/>
      <c r="B2" s="132" t="s">
        <v>23</v>
      </c>
      <c r="C2" s="133"/>
      <c r="D2" s="133"/>
      <c r="E2" s="133"/>
      <c r="F2" s="82"/>
      <c r="G2" s="134"/>
      <c r="H2" s="133"/>
      <c r="I2" s="133"/>
      <c r="J2" s="82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2.75" customHeight="1" x14ac:dyDescent="0.25">
      <c r="A3" s="9"/>
      <c r="B3" s="9"/>
      <c r="C3" s="10"/>
      <c r="D3" s="10"/>
      <c r="E3" s="10"/>
      <c r="F3" s="10"/>
      <c r="G3" s="10"/>
      <c r="H3" s="10"/>
      <c r="I3" s="10"/>
      <c r="J3" s="10"/>
      <c r="K3" s="8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2.75" customHeight="1" x14ac:dyDescent="0.25">
      <c r="A4" s="7"/>
      <c r="B4" s="7"/>
      <c r="C4" s="6"/>
      <c r="D4" s="6"/>
      <c r="E4" s="6"/>
      <c r="F4" s="6"/>
      <c r="G4" s="6"/>
      <c r="H4" s="6"/>
      <c r="I4" s="6"/>
      <c r="J4" s="6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20.25" customHeight="1" x14ac:dyDescent="0.25">
      <c r="A5" s="7"/>
      <c r="B5" s="135" t="s">
        <v>0</v>
      </c>
      <c r="C5" s="113"/>
      <c r="D5" s="44"/>
      <c r="E5" s="45"/>
      <c r="F5" s="46"/>
      <c r="G5" s="42"/>
      <c r="H5" s="41"/>
      <c r="I5" s="41"/>
      <c r="J5" s="41"/>
      <c r="K5" s="8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2.75" customHeight="1" x14ac:dyDescent="0.25">
      <c r="A6" s="7"/>
      <c r="B6" s="12"/>
      <c r="C6" s="41"/>
      <c r="D6" s="41"/>
      <c r="E6" s="41"/>
      <c r="F6" s="41"/>
      <c r="G6" s="41"/>
      <c r="H6" s="41"/>
      <c r="I6" s="41"/>
      <c r="J6" s="41"/>
      <c r="K6" s="8"/>
      <c r="L6" s="6"/>
      <c r="M6" s="6"/>
      <c r="N6" s="6"/>
      <c r="O6" s="13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3.5" customHeight="1" x14ac:dyDescent="0.25">
      <c r="A7" s="7"/>
      <c r="B7" s="52"/>
      <c r="C7" s="102" t="s">
        <v>122</v>
      </c>
      <c r="D7" s="102"/>
      <c r="E7" s="102"/>
      <c r="F7" s="73">
        <f>SUM(D25:D44)</f>
        <v>0</v>
      </c>
      <c r="G7" s="51"/>
      <c r="H7" s="51"/>
      <c r="I7" s="51"/>
      <c r="J7" s="51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s="40" customFormat="1" ht="13.5" customHeight="1" x14ac:dyDescent="0.25">
      <c r="A8" s="7"/>
      <c r="B8" s="52"/>
      <c r="C8" s="139" t="s">
        <v>123</v>
      </c>
      <c r="D8" s="102"/>
      <c r="E8" s="102"/>
      <c r="F8" s="74">
        <f>SUM(E25:E44)</f>
        <v>0</v>
      </c>
      <c r="G8" s="51"/>
      <c r="H8" s="51"/>
      <c r="I8" s="51"/>
      <c r="J8" s="51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s="40" customFormat="1" ht="13.5" customHeight="1" x14ac:dyDescent="0.25">
      <c r="A9" s="7"/>
      <c r="B9" s="52"/>
      <c r="C9" s="27"/>
      <c r="D9" s="138"/>
      <c r="E9" s="138"/>
      <c r="F9" s="53"/>
      <c r="G9" s="51"/>
      <c r="H9" s="51"/>
      <c r="I9" s="51"/>
      <c r="J9" s="51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2.75" customHeight="1" x14ac:dyDescent="0.25">
      <c r="A10" s="7"/>
      <c r="B10" s="12"/>
      <c r="C10" s="55"/>
      <c r="D10" s="138"/>
      <c r="E10" s="138"/>
      <c r="F10" s="56"/>
      <c r="G10" s="43"/>
      <c r="H10" s="43"/>
      <c r="I10" s="43"/>
      <c r="J10" s="43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2.75" customHeight="1" x14ac:dyDescent="0.25">
      <c r="A11" s="7"/>
      <c r="B11" s="136" t="s">
        <v>1</v>
      </c>
      <c r="C11" s="133"/>
      <c r="D11" s="133"/>
      <c r="E11" s="133"/>
      <c r="F11" s="133"/>
      <c r="G11" s="133"/>
      <c r="H11" s="133"/>
      <c r="I11" s="133"/>
      <c r="J11" s="82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7.5" customHeight="1" x14ac:dyDescent="0.25">
      <c r="A12" s="7"/>
      <c r="B12" s="15"/>
      <c r="C12" s="16"/>
      <c r="D12" s="16"/>
      <c r="E12" s="16"/>
      <c r="F12" s="16"/>
      <c r="G12" s="16"/>
      <c r="H12" s="16"/>
      <c r="I12" s="16"/>
      <c r="J12" s="16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8" customHeight="1" x14ac:dyDescent="0.25">
      <c r="A13" s="7"/>
      <c r="B13" s="9" t="s">
        <v>2</v>
      </c>
      <c r="C13" s="129"/>
      <c r="D13" s="129"/>
      <c r="E13" s="129"/>
      <c r="F13" s="50"/>
      <c r="G13" s="137"/>
      <c r="H13" s="137"/>
      <c r="I13" s="137"/>
      <c r="J13" s="137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6" customHeight="1" x14ac:dyDescent="0.25">
      <c r="A14" s="7"/>
      <c r="B14" s="9"/>
      <c r="C14" s="11"/>
      <c r="D14" s="11"/>
      <c r="E14" s="11"/>
      <c r="F14" s="47"/>
      <c r="G14" s="131"/>
      <c r="H14" s="131"/>
      <c r="I14" s="131"/>
      <c r="J14" s="131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8" customHeight="1" x14ac:dyDescent="0.25">
      <c r="A15" s="7"/>
      <c r="B15" s="9" t="s">
        <v>121</v>
      </c>
      <c r="C15" s="129"/>
      <c r="D15" s="129"/>
      <c r="E15" s="129"/>
      <c r="F15" s="48"/>
      <c r="G15" s="130"/>
      <c r="H15" s="130"/>
      <c r="I15" s="130"/>
      <c r="J15" s="130"/>
      <c r="K15" s="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7.5" customHeight="1" x14ac:dyDescent="0.25">
      <c r="A16" s="7"/>
      <c r="B16" s="9"/>
      <c r="C16" s="11"/>
      <c r="D16" s="11"/>
      <c r="E16" s="11"/>
      <c r="F16" s="48"/>
      <c r="G16" s="130"/>
      <c r="H16" s="130"/>
      <c r="I16" s="130"/>
      <c r="J16" s="130"/>
      <c r="K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8" customHeight="1" x14ac:dyDescent="0.25">
      <c r="A17" s="7"/>
      <c r="B17" s="9" t="s">
        <v>3</v>
      </c>
      <c r="C17" s="129"/>
      <c r="D17" s="129"/>
      <c r="E17" s="129"/>
      <c r="F17" s="48"/>
      <c r="G17" s="130"/>
      <c r="H17" s="130"/>
      <c r="I17" s="130"/>
      <c r="J17" s="130"/>
      <c r="K17" s="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7.5" customHeight="1" x14ac:dyDescent="0.25">
      <c r="A18" s="7"/>
      <c r="B18" s="9"/>
      <c r="C18" s="11"/>
      <c r="D18" s="11"/>
      <c r="E18" s="11"/>
      <c r="F18" s="48"/>
      <c r="G18" s="130"/>
      <c r="H18" s="130"/>
      <c r="I18" s="130"/>
      <c r="J18" s="130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7" ht="18" customHeight="1" x14ac:dyDescent="0.25">
      <c r="A19" s="7"/>
      <c r="B19" s="19" t="s">
        <v>4</v>
      </c>
      <c r="C19" s="129"/>
      <c r="D19" s="129"/>
      <c r="E19" s="129"/>
      <c r="F19" s="48"/>
      <c r="G19" s="130"/>
      <c r="H19" s="130"/>
      <c r="I19" s="130"/>
      <c r="J19" s="130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7" ht="18" customHeight="1" x14ac:dyDescent="0.25">
      <c r="A20" s="7"/>
      <c r="B20" s="9"/>
      <c r="C20" s="99"/>
      <c r="D20" s="111"/>
      <c r="E20" s="111"/>
      <c r="F20" s="111"/>
      <c r="G20" s="11"/>
      <c r="H20" s="11"/>
      <c r="I20" s="20"/>
      <c r="J20" s="21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7.5" customHeight="1" x14ac:dyDescent="0.25">
      <c r="A21" s="7"/>
      <c r="B21" s="22"/>
      <c r="C21" s="14"/>
      <c r="D21" s="14"/>
      <c r="E21" s="14"/>
      <c r="F21" s="14"/>
      <c r="G21" s="14"/>
      <c r="H21" s="14"/>
      <c r="I21" s="14"/>
      <c r="J21" s="14"/>
      <c r="K21" s="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2.75" customHeight="1" thickBot="1" x14ac:dyDescent="0.3">
      <c r="A22" s="7"/>
      <c r="B22" s="112"/>
      <c r="C22" s="113"/>
      <c r="D22" s="113"/>
      <c r="E22" s="113"/>
      <c r="F22" s="113"/>
      <c r="G22" s="113"/>
      <c r="H22" s="113"/>
      <c r="I22" s="113"/>
      <c r="J22" s="114"/>
      <c r="K22" s="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 x14ac:dyDescent="0.25">
      <c r="A23" s="7"/>
      <c r="B23" s="115" t="s">
        <v>25</v>
      </c>
      <c r="C23" s="117" t="s">
        <v>26</v>
      </c>
      <c r="D23" s="103" t="s">
        <v>27</v>
      </c>
      <c r="E23" s="105" t="s">
        <v>28</v>
      </c>
      <c r="F23" s="121" t="s">
        <v>5</v>
      </c>
      <c r="G23" s="123" t="s">
        <v>29</v>
      </c>
      <c r="H23" s="125" t="s">
        <v>30</v>
      </c>
      <c r="I23" s="126"/>
      <c r="J23" s="119" t="s">
        <v>31</v>
      </c>
      <c r="K23" s="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 thickBot="1" x14ac:dyDescent="0.3">
      <c r="A24" s="7"/>
      <c r="B24" s="116"/>
      <c r="C24" s="118"/>
      <c r="D24" s="104"/>
      <c r="E24" s="106"/>
      <c r="F24" s="122"/>
      <c r="G24" s="124"/>
      <c r="H24" s="127"/>
      <c r="I24" s="128"/>
      <c r="J24" s="120"/>
      <c r="K24" s="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6" x14ac:dyDescent="0.3">
      <c r="A25" s="7"/>
      <c r="B25" s="59"/>
      <c r="C25" s="23"/>
      <c r="D25" s="77"/>
      <c r="E25" s="75"/>
      <c r="F25" s="49"/>
      <c r="G25" s="71"/>
      <c r="H25" s="107"/>
      <c r="I25" s="108"/>
      <c r="J25" s="72" t="str">
        <f>+IFERROR(VLOOKUP(C25,Hoja1!$C$5:$D$54,2,FALSE),"---")</f>
        <v>---</v>
      </c>
      <c r="K25" s="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.6" x14ac:dyDescent="0.3">
      <c r="A26" s="7"/>
      <c r="B26" s="59"/>
      <c r="C26" s="23"/>
      <c r="D26" s="77"/>
      <c r="E26" s="75"/>
      <c r="F26" s="49"/>
      <c r="G26" s="70"/>
      <c r="H26" s="109"/>
      <c r="I26" s="110"/>
      <c r="J26" s="72" t="str">
        <f>+IFERROR(VLOOKUP(C26,Hoja1!$C$5:$D$54,2,FALSE),"---")</f>
        <v>---</v>
      </c>
      <c r="K26" s="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5.6" x14ac:dyDescent="0.3">
      <c r="A27" s="7"/>
      <c r="B27" s="59"/>
      <c r="C27" s="23"/>
      <c r="D27" s="77"/>
      <c r="E27" s="75"/>
      <c r="F27" s="49"/>
      <c r="G27" s="70"/>
      <c r="H27" s="81"/>
      <c r="I27" s="82"/>
      <c r="J27" s="72" t="str">
        <f>+IFERROR(VLOOKUP(C27,Hoja1!$C$5:$D$54,2,FALSE),"---")</f>
        <v>---</v>
      </c>
      <c r="K27" s="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5.6" x14ac:dyDescent="0.3">
      <c r="A28" s="7"/>
      <c r="B28" s="59"/>
      <c r="C28" s="23"/>
      <c r="D28" s="77"/>
      <c r="E28" s="75"/>
      <c r="F28" s="49"/>
      <c r="G28" s="70"/>
      <c r="H28" s="81"/>
      <c r="I28" s="83"/>
      <c r="J28" s="72" t="str">
        <f>+IFERROR(VLOOKUP(C28,Hoja1!$C$5:$D$54,2,FALSE),"---")</f>
        <v>---</v>
      </c>
      <c r="K28" s="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5.6" x14ac:dyDescent="0.3">
      <c r="A29" s="7"/>
      <c r="B29" s="60"/>
      <c r="C29" s="24"/>
      <c r="D29" s="78"/>
      <c r="E29" s="75"/>
      <c r="F29" s="49"/>
      <c r="G29" s="70"/>
      <c r="H29" s="81"/>
      <c r="I29" s="83"/>
      <c r="J29" s="72" t="str">
        <f>+IFERROR(VLOOKUP(C29,Hoja1!$C$5:$D$54,2,FALSE),"---")</f>
        <v>---</v>
      </c>
      <c r="K29" s="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5.6" x14ac:dyDescent="0.3">
      <c r="A30" s="7"/>
      <c r="B30" s="59"/>
      <c r="C30" s="23"/>
      <c r="D30" s="77"/>
      <c r="E30" s="75"/>
      <c r="F30" s="49"/>
      <c r="G30" s="70"/>
      <c r="H30" s="81"/>
      <c r="I30" s="83"/>
      <c r="J30" s="72" t="str">
        <f>+IFERROR(VLOOKUP(C30,Hoja1!$C$5:$D$54,2,FALSE),"---")</f>
        <v>---</v>
      </c>
      <c r="K30" s="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5.6" x14ac:dyDescent="0.3">
      <c r="A31" s="7"/>
      <c r="B31" s="59"/>
      <c r="C31" s="23"/>
      <c r="D31" s="77"/>
      <c r="E31" s="75"/>
      <c r="F31" s="49"/>
      <c r="G31" s="70"/>
      <c r="H31" s="81"/>
      <c r="I31" s="83"/>
      <c r="J31" s="72" t="str">
        <f>+IFERROR(VLOOKUP(C31,Hoja1!$C$5:$D$54,2,FALSE),"---")</f>
        <v>---</v>
      </c>
      <c r="K31" s="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5.6" x14ac:dyDescent="0.3">
      <c r="A32" s="7"/>
      <c r="B32" s="60"/>
      <c r="C32" s="24"/>
      <c r="D32" s="78"/>
      <c r="E32" s="75"/>
      <c r="F32" s="49"/>
      <c r="G32" s="70"/>
      <c r="H32" s="68"/>
      <c r="I32" s="25"/>
      <c r="J32" s="72" t="str">
        <f>+IFERROR(VLOOKUP(C32,Hoja1!$C$5:$D$54,2,FALSE),"---")</f>
        <v>---</v>
      </c>
      <c r="K32" s="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5.6" x14ac:dyDescent="0.3">
      <c r="A33" s="7"/>
      <c r="B33" s="59"/>
      <c r="C33" s="23"/>
      <c r="D33" s="77"/>
      <c r="E33" s="75"/>
      <c r="F33" s="49"/>
      <c r="G33" s="70"/>
      <c r="H33" s="69"/>
      <c r="I33" s="25"/>
      <c r="J33" s="72" t="str">
        <f>+IFERROR(VLOOKUP(C33,Hoja1!$C$5:$D$54,2,FALSE),"---")</f>
        <v>---</v>
      </c>
      <c r="K33" s="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5.6" x14ac:dyDescent="0.3">
      <c r="A34" s="7"/>
      <c r="B34" s="60"/>
      <c r="C34" s="24"/>
      <c r="D34" s="78"/>
      <c r="E34" s="75"/>
      <c r="F34" s="49"/>
      <c r="G34" s="70"/>
      <c r="H34" s="69"/>
      <c r="I34" s="25"/>
      <c r="J34" s="72" t="str">
        <f>+IFERROR(VLOOKUP(C34,Hoja1!$C$5:$D$54,2,FALSE),"---")</f>
        <v>---</v>
      </c>
      <c r="K34" s="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8" customHeight="1" x14ac:dyDescent="0.3">
      <c r="A35" s="7"/>
      <c r="B35" s="60"/>
      <c r="C35" s="24"/>
      <c r="D35" s="78"/>
      <c r="E35" s="76"/>
      <c r="F35" s="49"/>
      <c r="G35" s="70"/>
      <c r="H35" s="69"/>
      <c r="I35" s="25"/>
      <c r="J35" s="72" t="str">
        <f>+IFERROR(VLOOKUP(C35,Hoja1!$C$5:$D$54,2,FALSE),"---")</f>
        <v>---</v>
      </c>
      <c r="K35" s="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s="57" customFormat="1" ht="18" customHeight="1" x14ac:dyDescent="0.3">
      <c r="A36" s="7"/>
      <c r="B36" s="59"/>
      <c r="C36" s="23"/>
      <c r="D36" s="77"/>
      <c r="E36" s="75"/>
      <c r="F36" s="49"/>
      <c r="G36" s="70"/>
      <c r="H36" s="69"/>
      <c r="I36" s="58"/>
      <c r="J36" s="72" t="str">
        <f>+IFERROR(VLOOKUP(C36,Hoja1!$C$5:$D$54,2,FALSE),"---")</f>
        <v>---</v>
      </c>
      <c r="K36" s="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s="57" customFormat="1" ht="18" customHeight="1" x14ac:dyDescent="0.3">
      <c r="A37" s="7"/>
      <c r="B37" s="59"/>
      <c r="C37" s="23"/>
      <c r="D37" s="77"/>
      <c r="E37" s="75"/>
      <c r="F37" s="49"/>
      <c r="G37" s="70"/>
      <c r="H37" s="69"/>
      <c r="I37" s="58"/>
      <c r="J37" s="72" t="str">
        <f>+IFERROR(VLOOKUP(C37,Hoja1!$C$5:$D$54,2,FALSE),"---")</f>
        <v>---</v>
      </c>
      <c r="K37" s="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8" customHeight="1" x14ac:dyDescent="0.3">
      <c r="A38" s="7"/>
      <c r="B38" s="59"/>
      <c r="C38" s="23"/>
      <c r="D38" s="77"/>
      <c r="E38" s="75"/>
      <c r="F38" s="49"/>
      <c r="G38" s="70"/>
      <c r="H38" s="69"/>
      <c r="I38" s="25"/>
      <c r="J38" s="72" t="str">
        <f>+IFERROR(VLOOKUP(C38,Hoja1!$C$5:$D$54,2,FALSE),"---")</f>
        <v>---</v>
      </c>
      <c r="K38" s="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8" customHeight="1" x14ac:dyDescent="0.3">
      <c r="A39" s="7"/>
      <c r="B39" s="59"/>
      <c r="C39" s="23"/>
      <c r="D39" s="77"/>
      <c r="E39" s="75"/>
      <c r="F39" s="49"/>
      <c r="G39" s="70"/>
      <c r="H39" s="69"/>
      <c r="I39" s="25"/>
      <c r="J39" s="72" t="str">
        <f>+IFERROR(VLOOKUP(C39,Hoja1!$C$5:$D$54,2,FALSE),"---")</f>
        <v>---</v>
      </c>
      <c r="K39" s="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8" customHeight="1" x14ac:dyDescent="0.3">
      <c r="A40" s="7"/>
      <c r="B40" s="60"/>
      <c r="C40" s="24"/>
      <c r="D40" s="78"/>
      <c r="E40" s="76"/>
      <c r="F40" s="49"/>
      <c r="G40" s="70"/>
      <c r="H40" s="69"/>
      <c r="I40" s="25"/>
      <c r="J40" s="72" t="str">
        <f>+IFERROR(VLOOKUP(C40,Hoja1!$C$5:$D$54,2,FALSE),"---")</f>
        <v>---</v>
      </c>
      <c r="K40" s="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8" customHeight="1" x14ac:dyDescent="0.3">
      <c r="A41" s="7"/>
      <c r="B41" s="60"/>
      <c r="C41" s="24"/>
      <c r="D41" s="78"/>
      <c r="E41" s="76"/>
      <c r="F41" s="49"/>
      <c r="G41" s="70"/>
      <c r="H41" s="69"/>
      <c r="I41" s="25"/>
      <c r="J41" s="72" t="str">
        <f>+IFERROR(VLOOKUP(C41,Hoja1!$C$5:$D$54,2,FALSE),"---")</f>
        <v>---</v>
      </c>
      <c r="K41" s="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8" customHeight="1" x14ac:dyDescent="0.3">
      <c r="A42" s="7"/>
      <c r="B42" s="60"/>
      <c r="C42" s="24"/>
      <c r="D42" s="78"/>
      <c r="E42" s="76"/>
      <c r="F42" s="49"/>
      <c r="G42" s="70"/>
      <c r="H42" s="69"/>
      <c r="I42" s="25"/>
      <c r="J42" s="72" t="str">
        <f>+IFERROR(VLOOKUP(C42,Hoja1!$C$5:$D$54,2,FALSE),"---")</f>
        <v>---</v>
      </c>
      <c r="K42" s="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8" customHeight="1" x14ac:dyDescent="0.3">
      <c r="A43" s="7"/>
      <c r="B43" s="59"/>
      <c r="C43" s="23"/>
      <c r="D43" s="77"/>
      <c r="E43" s="75"/>
      <c r="F43" s="49"/>
      <c r="G43" s="70"/>
      <c r="H43" s="69"/>
      <c r="I43" s="25"/>
      <c r="J43" s="72" t="str">
        <f>+IFERROR(VLOOKUP(C43,Hoja1!$C$5:$D$54,2,FALSE),"---")</f>
        <v>---</v>
      </c>
      <c r="K43" s="8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8" customHeight="1" x14ac:dyDescent="0.3">
      <c r="A44" s="7"/>
      <c r="B44" s="59"/>
      <c r="C44" s="23"/>
      <c r="D44" s="77"/>
      <c r="E44" s="75"/>
      <c r="F44" s="49"/>
      <c r="G44" s="70"/>
      <c r="H44" s="79"/>
      <c r="I44" s="80"/>
      <c r="J44" s="72" t="str">
        <f>+IFERROR(VLOOKUP(C44,Hoja1!$C$5:$D$54,2,FALSE),"---")</f>
        <v>---</v>
      </c>
      <c r="K44" s="8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5.25" customHeight="1" x14ac:dyDescent="0.25">
      <c r="A45" s="7"/>
      <c r="B45" s="12"/>
      <c r="C45" s="11"/>
      <c r="D45" s="11"/>
      <c r="E45" s="11"/>
      <c r="F45" s="26"/>
      <c r="G45" s="47"/>
      <c r="H45" s="84"/>
      <c r="I45" s="84"/>
      <c r="J45" s="18"/>
      <c r="K45" s="8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2.75" customHeight="1" x14ac:dyDescent="0.25">
      <c r="A46" s="7"/>
      <c r="B46" s="12"/>
      <c r="C46" s="11"/>
      <c r="D46" s="11"/>
      <c r="E46" s="11"/>
      <c r="F46" s="11"/>
      <c r="G46" s="85"/>
      <c r="H46" s="85"/>
      <c r="I46" s="85"/>
      <c r="J46" s="53"/>
      <c r="K46" s="8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6.75" customHeight="1" x14ac:dyDescent="0.25">
      <c r="A47" s="7"/>
      <c r="B47" s="12"/>
      <c r="C47" s="11"/>
      <c r="D47" s="11"/>
      <c r="E47" s="11"/>
      <c r="F47" s="11"/>
      <c r="G47" s="54"/>
      <c r="H47" s="98"/>
      <c r="I47" s="98"/>
      <c r="J47" s="54"/>
      <c r="K47" s="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5" customHeight="1" x14ac:dyDescent="0.25">
      <c r="A48" s="7"/>
      <c r="B48" s="28"/>
      <c r="C48" s="18"/>
      <c r="D48" s="18"/>
      <c r="E48" s="18"/>
      <c r="F48" s="18"/>
      <c r="G48" s="18"/>
      <c r="H48" s="99"/>
      <c r="I48" s="99"/>
      <c r="J48" s="99"/>
      <c r="K48" s="8"/>
      <c r="L48" s="6"/>
      <c r="M48" s="6"/>
      <c r="N48" s="29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7.25" customHeight="1" x14ac:dyDescent="0.25">
      <c r="A49" s="7"/>
      <c r="B49" s="30"/>
      <c r="C49" s="100" t="s">
        <v>24</v>
      </c>
      <c r="D49" s="101"/>
      <c r="E49" s="101"/>
      <c r="F49" s="31"/>
      <c r="G49" s="11"/>
      <c r="H49" s="102"/>
      <c r="I49" s="102"/>
      <c r="J49" s="102"/>
      <c r="K49" s="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21" customHeight="1" x14ac:dyDescent="0.25">
      <c r="A50" s="7"/>
      <c r="B50" s="12"/>
      <c r="C50" s="11"/>
      <c r="D50" s="11"/>
      <c r="E50" s="11"/>
      <c r="F50" s="11"/>
      <c r="G50" s="11"/>
      <c r="H50" s="11"/>
      <c r="I50" s="11"/>
      <c r="J50" s="11"/>
      <c r="K50" s="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1.25" customHeight="1" x14ac:dyDescent="0.25">
      <c r="A51" s="7"/>
      <c r="B51" s="86" t="s">
        <v>6</v>
      </c>
      <c r="C51" s="87"/>
      <c r="D51" s="87"/>
      <c r="E51" s="87"/>
      <c r="F51" s="87"/>
      <c r="G51" s="87"/>
      <c r="H51" s="87"/>
      <c r="I51" s="87"/>
      <c r="J51" s="88"/>
      <c r="K51" s="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3.75" customHeight="1" x14ac:dyDescent="0.25">
      <c r="A52" s="7"/>
      <c r="B52" s="15"/>
      <c r="C52" s="16"/>
      <c r="D52" s="16"/>
      <c r="E52" s="16"/>
      <c r="F52" s="16"/>
      <c r="G52" s="16"/>
      <c r="H52" s="16"/>
      <c r="I52" s="16"/>
      <c r="J52" s="32"/>
      <c r="K52" s="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2.75" customHeight="1" x14ac:dyDescent="0.25">
      <c r="A53" s="7"/>
      <c r="B53" s="89"/>
      <c r="C53" s="90"/>
      <c r="D53" s="90"/>
      <c r="E53" s="90"/>
      <c r="F53" s="90"/>
      <c r="G53" s="90"/>
      <c r="H53" s="90"/>
      <c r="I53" s="90"/>
      <c r="J53" s="91"/>
      <c r="K53" s="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5.75" customHeight="1" x14ac:dyDescent="0.25">
      <c r="A54" s="7"/>
      <c r="B54" s="33"/>
      <c r="C54" s="17"/>
      <c r="D54" s="17"/>
      <c r="E54" s="17"/>
      <c r="F54" s="17"/>
      <c r="G54" s="17"/>
      <c r="H54" s="17"/>
      <c r="I54" s="17"/>
      <c r="J54" s="34"/>
      <c r="K54" s="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8.75" customHeight="1" x14ac:dyDescent="0.25">
      <c r="A55" s="7"/>
      <c r="B55" s="92"/>
      <c r="C55" s="93"/>
      <c r="D55" s="93"/>
      <c r="E55" s="93"/>
      <c r="F55" s="93"/>
      <c r="G55" s="93"/>
      <c r="H55" s="93"/>
      <c r="I55" s="93"/>
      <c r="J55" s="94"/>
      <c r="K55" s="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9.5" customHeight="1" x14ac:dyDescent="0.25">
      <c r="A56" s="7"/>
      <c r="B56" s="92"/>
      <c r="C56" s="93"/>
      <c r="D56" s="93"/>
      <c r="E56" s="93"/>
      <c r="F56" s="93"/>
      <c r="G56" s="93"/>
      <c r="H56" s="93"/>
      <c r="I56" s="93"/>
      <c r="J56" s="94"/>
      <c r="K56" s="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8" customHeight="1" x14ac:dyDescent="0.25">
      <c r="A57" s="7"/>
      <c r="B57" s="95"/>
      <c r="C57" s="96"/>
      <c r="D57" s="96"/>
      <c r="E57" s="96"/>
      <c r="F57" s="96"/>
      <c r="G57" s="96"/>
      <c r="H57" s="96"/>
      <c r="I57" s="96"/>
      <c r="J57" s="97"/>
      <c r="K57" s="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7.25" customHeight="1" x14ac:dyDescent="0.25">
      <c r="A58" s="35"/>
      <c r="B58" s="35"/>
      <c r="C58" s="36"/>
      <c r="D58" s="36"/>
      <c r="E58" s="36"/>
      <c r="F58" s="36"/>
      <c r="G58" s="36"/>
      <c r="H58" s="36"/>
      <c r="I58" s="36"/>
      <c r="J58" s="37"/>
      <c r="K58" s="3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2.75" hidden="1" customHeight="1" x14ac:dyDescent="0.25">
      <c r="A82" s="6"/>
      <c r="B82" s="39" t="s">
        <v>7</v>
      </c>
      <c r="C82" s="39"/>
      <c r="D82" s="39"/>
      <c r="E82" s="6"/>
      <c r="F82" s="39" t="s">
        <v>8</v>
      </c>
      <c r="G82" s="6"/>
      <c r="H82" s="39">
        <v>1</v>
      </c>
      <c r="I82" s="39">
        <v>2015</v>
      </c>
      <c r="J82" s="39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2.75" hidden="1" customHeight="1" x14ac:dyDescent="0.25">
      <c r="A83" s="6"/>
      <c r="B83" s="39" t="s">
        <v>9</v>
      </c>
      <c r="C83" s="39"/>
      <c r="D83" s="39"/>
      <c r="E83" s="6"/>
      <c r="F83" s="39" t="s">
        <v>10</v>
      </c>
      <c r="G83" s="6"/>
      <c r="H83" s="39">
        <v>2</v>
      </c>
      <c r="I83" s="39">
        <v>2016</v>
      </c>
      <c r="J83" s="39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2.75" hidden="1" customHeight="1" x14ac:dyDescent="0.25">
      <c r="A84" s="6"/>
      <c r="B84" s="39" t="s">
        <v>11</v>
      </c>
      <c r="C84" s="39"/>
      <c r="D84" s="39"/>
      <c r="E84" s="6"/>
      <c r="F84" s="39" t="s">
        <v>12</v>
      </c>
      <c r="G84" s="6"/>
      <c r="H84" s="39">
        <v>3</v>
      </c>
      <c r="I84" s="39">
        <v>2017</v>
      </c>
      <c r="J84" s="39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2.75" hidden="1" customHeight="1" x14ac:dyDescent="0.25">
      <c r="A85" s="6"/>
      <c r="B85" s="39" t="s">
        <v>13</v>
      </c>
      <c r="C85" s="39"/>
      <c r="D85" s="39"/>
      <c r="E85" s="6"/>
      <c r="F85" s="6"/>
      <c r="G85" s="6"/>
      <c r="H85" s="39">
        <v>4</v>
      </c>
      <c r="I85" s="39">
        <v>2018</v>
      </c>
      <c r="J85" s="39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2.75" hidden="1" customHeight="1" x14ac:dyDescent="0.25">
      <c r="A86" s="6"/>
      <c r="B86" s="39" t="s">
        <v>14</v>
      </c>
      <c r="C86" s="39"/>
      <c r="D86" s="39"/>
      <c r="E86" s="6"/>
      <c r="F86" s="6"/>
      <c r="G86" s="6"/>
      <c r="H86" s="39">
        <v>5</v>
      </c>
      <c r="I86" s="39">
        <v>2019</v>
      </c>
      <c r="J86" s="3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2.75" hidden="1" customHeight="1" x14ac:dyDescent="0.25">
      <c r="A87" s="6"/>
      <c r="B87" s="39" t="s">
        <v>15</v>
      </c>
      <c r="C87" s="39"/>
      <c r="D87" s="39"/>
      <c r="E87" s="6"/>
      <c r="F87" s="6"/>
      <c r="G87" s="6"/>
      <c r="H87" s="39">
        <v>6</v>
      </c>
      <c r="I87" s="39">
        <v>2020</v>
      </c>
      <c r="J87" s="3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2.75" hidden="1" customHeight="1" x14ac:dyDescent="0.25">
      <c r="A88" s="6"/>
      <c r="B88" s="39" t="s">
        <v>16</v>
      </c>
      <c r="C88" s="39"/>
      <c r="D88" s="39"/>
      <c r="E88" s="6"/>
      <c r="F88" s="6"/>
      <c r="G88" s="6"/>
      <c r="H88" s="39">
        <v>7</v>
      </c>
      <c r="I88" s="39">
        <v>2021</v>
      </c>
      <c r="J88" s="39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2.75" hidden="1" customHeight="1" x14ac:dyDescent="0.25">
      <c r="A89" s="6"/>
      <c r="B89" s="39" t="s">
        <v>17</v>
      </c>
      <c r="C89" s="39"/>
      <c r="D89" s="39"/>
      <c r="E89" s="6"/>
      <c r="F89" s="6"/>
      <c r="G89" s="6"/>
      <c r="H89" s="39">
        <v>8</v>
      </c>
      <c r="I89" s="39">
        <v>2022</v>
      </c>
      <c r="J89" s="3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2.75" hidden="1" customHeight="1" x14ac:dyDescent="0.25">
      <c r="A90" s="6"/>
      <c r="B90" s="39" t="s">
        <v>18</v>
      </c>
      <c r="C90" s="39"/>
      <c r="D90" s="39"/>
      <c r="E90" s="6"/>
      <c r="F90" s="6"/>
      <c r="G90" s="6"/>
      <c r="H90" s="39">
        <v>9</v>
      </c>
      <c r="I90" s="39">
        <v>2023</v>
      </c>
      <c r="J90" s="3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2.75" hidden="1" customHeight="1" x14ac:dyDescent="0.25">
      <c r="A91" s="6"/>
      <c r="B91" s="39" t="s">
        <v>19</v>
      </c>
      <c r="C91" s="39"/>
      <c r="D91" s="39"/>
      <c r="E91" s="6"/>
      <c r="F91" s="6"/>
      <c r="G91" s="6"/>
      <c r="H91" s="39">
        <v>10</v>
      </c>
      <c r="I91" s="39">
        <v>2024</v>
      </c>
      <c r="J91" s="3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2.75" hidden="1" customHeight="1" x14ac:dyDescent="0.25">
      <c r="A92" s="6"/>
      <c r="B92" s="39" t="s">
        <v>20</v>
      </c>
      <c r="C92" s="39"/>
      <c r="D92" s="39"/>
      <c r="E92" s="6"/>
      <c r="F92" s="6"/>
      <c r="G92" s="6"/>
      <c r="H92" s="39">
        <v>11</v>
      </c>
      <c r="I92" s="39">
        <v>2025</v>
      </c>
      <c r="J92" s="3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2.75" hidden="1" customHeight="1" x14ac:dyDescent="0.25">
      <c r="A93" s="6"/>
      <c r="B93" s="39" t="s">
        <v>21</v>
      </c>
      <c r="C93" s="39"/>
      <c r="D93" s="39"/>
      <c r="E93" s="6"/>
      <c r="F93" s="6"/>
      <c r="G93" s="6"/>
      <c r="H93" s="39">
        <v>12</v>
      </c>
      <c r="I93" s="39">
        <v>2026</v>
      </c>
      <c r="J93" s="39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2.75" hidden="1" customHeight="1" x14ac:dyDescent="0.25">
      <c r="A94" s="6"/>
      <c r="B94" s="6"/>
      <c r="C94" s="6"/>
      <c r="D94" s="6"/>
      <c r="E94" s="6"/>
      <c r="F94" s="6"/>
      <c r="G94" s="6"/>
      <c r="H94" s="39"/>
      <c r="I94" s="39">
        <v>2027</v>
      </c>
      <c r="J94" s="3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2.75" hidden="1" customHeight="1" x14ac:dyDescent="0.25">
      <c r="A95" s="6"/>
      <c r="B95" s="6"/>
      <c r="C95" s="6"/>
      <c r="D95" s="6"/>
      <c r="E95" s="6"/>
      <c r="F95" s="6"/>
      <c r="G95" s="6"/>
      <c r="H95" s="39"/>
      <c r="I95" s="39">
        <v>2028</v>
      </c>
      <c r="J95" s="39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2.75" hidden="1" customHeight="1" x14ac:dyDescent="0.25">
      <c r="A96" s="6"/>
      <c r="B96" s="6"/>
      <c r="C96" s="6"/>
      <c r="D96" s="6"/>
      <c r="E96" s="6"/>
      <c r="F96" s="6"/>
      <c r="G96" s="6"/>
      <c r="H96" s="39"/>
      <c r="I96" s="39">
        <v>2029</v>
      </c>
      <c r="J96" s="39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2.75" hidden="1" customHeight="1" x14ac:dyDescent="0.25">
      <c r="A97" s="6"/>
      <c r="B97" s="6" t="s">
        <v>22</v>
      </c>
      <c r="C97" s="6"/>
      <c r="D97" s="6"/>
      <c r="E97" s="6"/>
      <c r="F97" s="6"/>
      <c r="G97" s="6"/>
      <c r="H97" s="39"/>
      <c r="I97" s="39">
        <v>2030</v>
      </c>
      <c r="J97" s="39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2.75" hidden="1" customHeight="1" x14ac:dyDescent="0.25">
      <c r="A98" s="6"/>
      <c r="B98" s="6"/>
      <c r="C98" s="6"/>
      <c r="D98" s="6"/>
      <c r="E98" s="6"/>
      <c r="F98" s="6"/>
      <c r="G98" s="6"/>
      <c r="H98" s="39"/>
      <c r="I98" s="39">
        <v>2031</v>
      </c>
      <c r="J98" s="39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2.75" hidden="1" customHeight="1" x14ac:dyDescent="0.25">
      <c r="A99" s="6"/>
      <c r="B99" s="6"/>
      <c r="C99" s="6"/>
      <c r="D99" s="6"/>
      <c r="E99" s="6"/>
      <c r="F99" s="6"/>
      <c r="G99" s="6"/>
      <c r="H99" s="39"/>
      <c r="I99" s="39">
        <v>2032</v>
      </c>
      <c r="J99" s="39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2.75" hidden="1" customHeight="1" x14ac:dyDescent="0.25">
      <c r="A100" s="6"/>
      <c r="B100" s="6"/>
      <c r="C100" s="6"/>
      <c r="D100" s="6"/>
      <c r="E100" s="6"/>
      <c r="F100" s="6"/>
      <c r="G100" s="6"/>
      <c r="H100" s="39"/>
      <c r="I100" s="39">
        <v>2033</v>
      </c>
      <c r="J100" s="39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2.75" hidden="1" customHeight="1" x14ac:dyDescent="0.25">
      <c r="A101" s="6"/>
      <c r="B101" s="6"/>
      <c r="C101" s="6"/>
      <c r="D101" s="6"/>
      <c r="E101" s="6"/>
      <c r="F101" s="6"/>
      <c r="G101" s="6"/>
      <c r="H101" s="39"/>
      <c r="I101" s="39">
        <v>2034</v>
      </c>
      <c r="J101" s="39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2.75" hidden="1" customHeight="1" x14ac:dyDescent="0.25">
      <c r="A102" s="6"/>
      <c r="B102" s="6"/>
      <c r="C102" s="6"/>
      <c r="D102" s="6"/>
      <c r="E102" s="6"/>
      <c r="F102" s="6"/>
      <c r="G102" s="6"/>
      <c r="H102" s="39"/>
      <c r="I102" s="39">
        <v>2035</v>
      </c>
      <c r="J102" s="39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2.75" hidden="1" customHeight="1" x14ac:dyDescent="0.25">
      <c r="A103" s="6"/>
      <c r="B103" s="6"/>
      <c r="C103" s="6"/>
      <c r="D103" s="6"/>
      <c r="E103" s="6"/>
      <c r="F103" s="6"/>
      <c r="G103" s="6"/>
      <c r="H103" s="39"/>
      <c r="I103" s="39">
        <v>2036</v>
      </c>
      <c r="J103" s="39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2.75" hidden="1" customHeight="1" x14ac:dyDescent="0.25">
      <c r="A104" s="6"/>
      <c r="B104" s="6"/>
      <c r="C104" s="6"/>
      <c r="D104" s="6"/>
      <c r="E104" s="6"/>
      <c r="F104" s="6"/>
      <c r="G104" s="6"/>
      <c r="H104" s="39"/>
      <c r="I104" s="39">
        <v>2037</v>
      </c>
      <c r="J104" s="39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2.75" hidden="1" customHeight="1" x14ac:dyDescent="0.25">
      <c r="A105" s="6"/>
      <c r="B105" s="6"/>
      <c r="C105" s="6"/>
      <c r="D105" s="6"/>
      <c r="E105" s="6"/>
      <c r="F105" s="6"/>
      <c r="G105" s="6"/>
      <c r="H105" s="39"/>
      <c r="I105" s="39">
        <v>2038</v>
      </c>
      <c r="J105" s="39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2.75" hidden="1" customHeight="1" x14ac:dyDescent="0.25">
      <c r="A106" s="6"/>
      <c r="B106" s="6"/>
      <c r="C106" s="6"/>
      <c r="D106" s="6"/>
      <c r="E106" s="6"/>
      <c r="F106" s="6"/>
      <c r="G106" s="6"/>
      <c r="H106" s="39"/>
      <c r="I106" s="39">
        <v>2039</v>
      </c>
      <c r="J106" s="39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2.75" hidden="1" customHeight="1" x14ac:dyDescent="0.25">
      <c r="A107" s="6"/>
      <c r="B107" s="6"/>
      <c r="C107" s="6"/>
      <c r="D107" s="6"/>
      <c r="E107" s="6"/>
      <c r="F107" s="6"/>
      <c r="G107" s="6"/>
      <c r="H107" s="39"/>
      <c r="I107" s="39">
        <v>2040</v>
      </c>
      <c r="J107" s="39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2.75" hidden="1" customHeight="1" x14ac:dyDescent="0.25">
      <c r="A108" s="6"/>
      <c r="B108" s="6"/>
      <c r="C108" s="6"/>
      <c r="D108" s="6"/>
      <c r="E108" s="6"/>
      <c r="F108" s="6"/>
      <c r="G108" s="6"/>
      <c r="H108" s="39"/>
      <c r="I108" s="39">
        <v>2041</v>
      </c>
      <c r="J108" s="39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2.75" hidden="1" customHeight="1" x14ac:dyDescent="0.25">
      <c r="A109" s="6"/>
      <c r="B109" s="6"/>
      <c r="C109" s="6"/>
      <c r="D109" s="6"/>
      <c r="E109" s="6"/>
      <c r="F109" s="6"/>
      <c r="G109" s="6"/>
      <c r="H109" s="39"/>
      <c r="I109" s="39">
        <v>2042</v>
      </c>
      <c r="J109" s="39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2.75" hidden="1" customHeight="1" x14ac:dyDescent="0.25">
      <c r="A110" s="6"/>
      <c r="B110" s="6"/>
      <c r="C110" s="6"/>
      <c r="D110" s="6"/>
      <c r="E110" s="6"/>
      <c r="F110" s="6"/>
      <c r="G110" s="6"/>
      <c r="H110" s="39"/>
      <c r="I110" s="39">
        <v>2043</v>
      </c>
      <c r="J110" s="39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2.75" hidden="1" customHeight="1" x14ac:dyDescent="0.25">
      <c r="A111" s="6"/>
      <c r="B111" s="6"/>
      <c r="C111" s="6"/>
      <c r="D111" s="6"/>
      <c r="E111" s="6"/>
      <c r="F111" s="6"/>
      <c r="G111" s="6"/>
      <c r="H111" s="39"/>
      <c r="I111" s="39">
        <v>2044</v>
      </c>
      <c r="J111" s="39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2.75" hidden="1" customHeight="1" x14ac:dyDescent="0.25">
      <c r="A112" s="6"/>
      <c r="B112" s="6"/>
      <c r="C112" s="6"/>
      <c r="D112" s="6"/>
      <c r="E112" s="6"/>
      <c r="F112" s="6"/>
      <c r="G112" s="6"/>
      <c r="H112" s="39"/>
      <c r="I112" s="39">
        <v>2045</v>
      </c>
      <c r="J112" s="39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2.75" hidden="1" customHeight="1" x14ac:dyDescent="0.25">
      <c r="A113" s="6"/>
      <c r="B113" s="6"/>
      <c r="C113" s="6"/>
      <c r="D113" s="6"/>
      <c r="E113" s="6"/>
      <c r="F113" s="6"/>
      <c r="G113" s="6"/>
      <c r="H113" s="39"/>
      <c r="I113" s="39">
        <v>2046</v>
      </c>
      <c r="J113" s="39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2.75" hidden="1" customHeight="1" x14ac:dyDescent="0.25">
      <c r="A114" s="6"/>
      <c r="B114" s="6"/>
      <c r="C114" s="6"/>
      <c r="D114" s="6"/>
      <c r="E114" s="6"/>
      <c r="F114" s="6"/>
      <c r="G114" s="6"/>
      <c r="H114" s="39"/>
      <c r="I114" s="39">
        <v>2047</v>
      </c>
      <c r="J114" s="39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2.75" hidden="1" customHeight="1" x14ac:dyDescent="0.25">
      <c r="A115" s="6"/>
      <c r="B115" s="6"/>
      <c r="C115" s="6"/>
      <c r="D115" s="6"/>
      <c r="E115" s="6"/>
      <c r="F115" s="6"/>
      <c r="G115" s="6"/>
      <c r="H115" s="39"/>
      <c r="I115" s="39">
        <v>2048</v>
      </c>
      <c r="J115" s="39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2.75" hidden="1" customHeight="1" x14ac:dyDescent="0.25">
      <c r="A116" s="6"/>
      <c r="B116" s="6"/>
      <c r="C116" s="6"/>
      <c r="D116" s="6"/>
      <c r="E116" s="6"/>
      <c r="F116" s="6"/>
      <c r="G116" s="6"/>
      <c r="H116" s="39"/>
      <c r="I116" s="39">
        <v>2049</v>
      </c>
      <c r="J116" s="39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2.75" hidden="1" customHeight="1" x14ac:dyDescent="0.25">
      <c r="A117" s="6"/>
      <c r="B117" s="6"/>
      <c r="C117" s="6"/>
      <c r="D117" s="6"/>
      <c r="E117" s="6"/>
      <c r="F117" s="6"/>
      <c r="G117" s="6"/>
      <c r="H117" s="39"/>
      <c r="I117" s="39">
        <v>2050</v>
      </c>
      <c r="J117" s="39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2.75" hidden="1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2.75" hidden="1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2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2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2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2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2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2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2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2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2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2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2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2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2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2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</sheetData>
  <mergeCells count="44">
    <mergeCell ref="C19:E19"/>
    <mergeCell ref="G15:J19"/>
    <mergeCell ref="G14:J14"/>
    <mergeCell ref="B2:F2"/>
    <mergeCell ref="G2:J2"/>
    <mergeCell ref="B5:C5"/>
    <mergeCell ref="B11:J11"/>
    <mergeCell ref="C13:E13"/>
    <mergeCell ref="G13:J13"/>
    <mergeCell ref="C7:E7"/>
    <mergeCell ref="D9:E9"/>
    <mergeCell ref="D10:E10"/>
    <mergeCell ref="C15:E15"/>
    <mergeCell ref="C17:E17"/>
    <mergeCell ref="C8:E8"/>
    <mergeCell ref="D23:D24"/>
    <mergeCell ref="E23:E24"/>
    <mergeCell ref="H25:I25"/>
    <mergeCell ref="H26:I26"/>
    <mergeCell ref="C20:F20"/>
    <mergeCell ref="B22:J22"/>
    <mergeCell ref="B23:B24"/>
    <mergeCell ref="C23:C24"/>
    <mergeCell ref="J23:J24"/>
    <mergeCell ref="F23:F24"/>
    <mergeCell ref="G23:G24"/>
    <mergeCell ref="H23:I24"/>
    <mergeCell ref="H47:I47"/>
    <mergeCell ref="H48:J48"/>
    <mergeCell ref="C49:E49"/>
    <mergeCell ref="H49:J49"/>
    <mergeCell ref="H29:I29"/>
    <mergeCell ref="H30:I30"/>
    <mergeCell ref="H31:I31"/>
    <mergeCell ref="B51:J51"/>
    <mergeCell ref="B53:J53"/>
    <mergeCell ref="B55:J55"/>
    <mergeCell ref="B56:J56"/>
    <mergeCell ref="B57:J57"/>
    <mergeCell ref="H44:I44"/>
    <mergeCell ref="H27:I27"/>
    <mergeCell ref="H28:I28"/>
    <mergeCell ref="H45:I45"/>
    <mergeCell ref="G46:I46"/>
  </mergeCells>
  <conditionalFormatting sqref="D10:E10">
    <cfRule type="cellIs" dxfId="1" priority="2" operator="equal">
      <formula>"si"</formula>
    </cfRule>
  </conditionalFormatting>
  <conditionalFormatting sqref="D9:E9">
    <cfRule type="cellIs" dxfId="0" priority="1" operator="equal">
      <formula>"si"</formula>
    </cfRule>
  </conditionalFormatting>
  <dataValidations count="3">
    <dataValidation type="list" allowBlank="1" showErrorMessage="1" sqref="F5">
      <formula1>"2024,2025,2026,2027,2028,2029,2030,2031,2032,2033,2034,2035,2036,2037,2038,2039,2040,2041,2042,2043,2044,2045,2046,2047,2048,2049,2050"</formula1>
    </dataValidation>
    <dataValidation type="list" allowBlank="1" showErrorMessage="1" sqref="D5">
      <formula1>"1,2,3,4,5,6,7,8,9,10,11,12,13,14,15,16,17,18,19,20,21,22,23,24,25,26,27,28,29,30,31"</formula1>
    </dataValidation>
    <dataValidation type="list" allowBlank="1" showErrorMessage="1" sqref="E5">
      <formula1>"1,2,3,4,5,6,7,8,9,10,11,12"</formula1>
    </dataValidation>
  </dataValidations>
  <printOptions horizontalCentered="1" verticalCentered="1"/>
  <pageMargins left="0.19" right="0.17" top="0.21" bottom="0.2" header="0" footer="0"/>
  <pageSetup scale="62" orientation="portrait" cellComments="atEnd" r:id="rId1"/>
  <rowBreaks count="1" manualBreakCount="1">
    <brk id="50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Hoja1!$C$5:$C$57</xm:f>
          </x14:formula1>
          <xm:sqref>C25:C44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57"/>
  <sheetViews>
    <sheetView topLeftCell="A32" workbookViewId="0">
      <selection activeCell="D36" sqref="D36:D48"/>
    </sheetView>
  </sheetViews>
  <sheetFormatPr baseColWidth="10" defaultRowHeight="13.2" x14ac:dyDescent="0.25"/>
  <cols>
    <col min="3" max="3" width="65.6640625" bestFit="1" customWidth="1"/>
  </cols>
  <sheetData>
    <row r="3" spans="3:4" ht="13.8" thickBot="1" x14ac:dyDescent="0.3"/>
    <row r="4" spans="3:4" ht="15.6" x14ac:dyDescent="0.25">
      <c r="C4" s="61" t="s">
        <v>32</v>
      </c>
      <c r="D4" s="62" t="s">
        <v>33</v>
      </c>
    </row>
    <row r="5" spans="3:4" ht="15.6" x14ac:dyDescent="0.3">
      <c r="C5" s="63" t="s">
        <v>34</v>
      </c>
      <c r="D5" s="64" t="s">
        <v>35</v>
      </c>
    </row>
    <row r="6" spans="3:4" ht="15.6" x14ac:dyDescent="0.3">
      <c r="C6" s="63" t="s">
        <v>36</v>
      </c>
      <c r="D6" s="64" t="s">
        <v>37</v>
      </c>
    </row>
    <row r="7" spans="3:4" ht="15.6" x14ac:dyDescent="0.3">
      <c r="C7" s="63" t="s">
        <v>38</v>
      </c>
      <c r="D7" s="64" t="s">
        <v>39</v>
      </c>
    </row>
    <row r="8" spans="3:4" ht="15.6" x14ac:dyDescent="0.3">
      <c r="C8" s="63" t="s">
        <v>40</v>
      </c>
      <c r="D8" s="64" t="s">
        <v>41</v>
      </c>
    </row>
    <row r="9" spans="3:4" ht="15.6" x14ac:dyDescent="0.3">
      <c r="C9" s="63" t="s">
        <v>42</v>
      </c>
      <c r="D9" s="64" t="s">
        <v>43</v>
      </c>
    </row>
    <row r="10" spans="3:4" ht="15.6" x14ac:dyDescent="0.3">
      <c r="C10" s="63" t="s">
        <v>44</v>
      </c>
      <c r="D10" s="64" t="s">
        <v>45</v>
      </c>
    </row>
    <row r="11" spans="3:4" ht="15.6" x14ac:dyDescent="0.3">
      <c r="C11" s="63" t="s">
        <v>46</v>
      </c>
      <c r="D11" s="64" t="s">
        <v>47</v>
      </c>
    </row>
    <row r="12" spans="3:4" ht="15.6" x14ac:dyDescent="0.3">
      <c r="C12" s="63" t="s">
        <v>48</v>
      </c>
      <c r="D12" s="64" t="s">
        <v>49</v>
      </c>
    </row>
    <row r="13" spans="3:4" ht="15.6" x14ac:dyDescent="0.3">
      <c r="C13" s="63" t="s">
        <v>50</v>
      </c>
      <c r="D13" s="64" t="s">
        <v>51</v>
      </c>
    </row>
    <row r="14" spans="3:4" ht="15.6" x14ac:dyDescent="0.3">
      <c r="C14" s="63" t="s">
        <v>52</v>
      </c>
      <c r="D14" s="64" t="s">
        <v>53</v>
      </c>
    </row>
    <row r="15" spans="3:4" ht="15.6" x14ac:dyDescent="0.3">
      <c r="C15" s="63" t="s">
        <v>54</v>
      </c>
      <c r="D15" s="64" t="s">
        <v>55</v>
      </c>
    </row>
    <row r="16" spans="3:4" ht="15.6" x14ac:dyDescent="0.3">
      <c r="C16" s="63" t="s">
        <v>56</v>
      </c>
      <c r="D16" s="64" t="s">
        <v>57</v>
      </c>
    </row>
    <row r="17" spans="3:4" ht="15.6" x14ac:dyDescent="0.3">
      <c r="C17" s="63" t="s">
        <v>58</v>
      </c>
      <c r="D17" s="64" t="s">
        <v>59</v>
      </c>
    </row>
    <row r="18" spans="3:4" ht="15.6" x14ac:dyDescent="0.3">
      <c r="C18" s="63" t="s">
        <v>60</v>
      </c>
      <c r="D18" s="64" t="s">
        <v>61</v>
      </c>
    </row>
    <row r="19" spans="3:4" ht="15.6" x14ac:dyDescent="0.3">
      <c r="C19" s="63" t="s">
        <v>62</v>
      </c>
      <c r="D19" s="64" t="s">
        <v>63</v>
      </c>
    </row>
    <row r="20" spans="3:4" ht="15.6" x14ac:dyDescent="0.3">
      <c r="C20" s="63" t="s">
        <v>64</v>
      </c>
      <c r="D20" s="64" t="s">
        <v>65</v>
      </c>
    </row>
    <row r="21" spans="3:4" ht="15.6" x14ac:dyDescent="0.3">
      <c r="C21" s="63" t="s">
        <v>66</v>
      </c>
      <c r="D21" s="64" t="s">
        <v>67</v>
      </c>
    </row>
    <row r="22" spans="3:4" ht="15.6" x14ac:dyDescent="0.3">
      <c r="C22" s="63" t="s">
        <v>68</v>
      </c>
      <c r="D22" s="64" t="s">
        <v>69</v>
      </c>
    </row>
    <row r="23" spans="3:4" ht="15.6" x14ac:dyDescent="0.3">
      <c r="C23" s="63" t="s">
        <v>70</v>
      </c>
      <c r="D23" s="64" t="s">
        <v>71</v>
      </c>
    </row>
    <row r="24" spans="3:4" ht="15.6" x14ac:dyDescent="0.3">
      <c r="C24" s="63" t="s">
        <v>72</v>
      </c>
      <c r="D24" s="64" t="s">
        <v>73</v>
      </c>
    </row>
    <row r="25" spans="3:4" ht="15.6" x14ac:dyDescent="0.3">
      <c r="C25" s="63" t="s">
        <v>74</v>
      </c>
      <c r="D25" s="64" t="s">
        <v>75</v>
      </c>
    </row>
    <row r="26" spans="3:4" ht="15.6" x14ac:dyDescent="0.3">
      <c r="C26" s="63" t="s">
        <v>76</v>
      </c>
      <c r="D26" s="64" t="s">
        <v>77</v>
      </c>
    </row>
    <row r="27" spans="3:4" ht="15.6" x14ac:dyDescent="0.3">
      <c r="C27" s="63" t="s">
        <v>78</v>
      </c>
      <c r="D27" s="64" t="s">
        <v>79</v>
      </c>
    </row>
    <row r="28" spans="3:4" ht="15.6" x14ac:dyDescent="0.3">
      <c r="C28" s="63" t="s">
        <v>80</v>
      </c>
      <c r="D28" s="64" t="s">
        <v>81</v>
      </c>
    </row>
    <row r="29" spans="3:4" ht="15.6" x14ac:dyDescent="0.3">
      <c r="C29" s="63" t="s">
        <v>82</v>
      </c>
      <c r="D29" s="64" t="s">
        <v>83</v>
      </c>
    </row>
    <row r="30" spans="3:4" ht="15.6" x14ac:dyDescent="0.3">
      <c r="C30" s="63" t="s">
        <v>84</v>
      </c>
      <c r="D30" s="64" t="s">
        <v>85</v>
      </c>
    </row>
    <row r="31" spans="3:4" ht="15.6" x14ac:dyDescent="0.3">
      <c r="C31" s="63" t="s">
        <v>86</v>
      </c>
      <c r="D31" s="64" t="s">
        <v>87</v>
      </c>
    </row>
    <row r="32" spans="3:4" ht="15.6" x14ac:dyDescent="0.3">
      <c r="C32" s="63" t="s">
        <v>88</v>
      </c>
      <c r="D32" s="64" t="s">
        <v>89</v>
      </c>
    </row>
    <row r="33" spans="3:4" ht="15.6" x14ac:dyDescent="0.3">
      <c r="C33" s="63" t="s">
        <v>90</v>
      </c>
      <c r="D33" s="64" t="s">
        <v>91</v>
      </c>
    </row>
    <row r="34" spans="3:4" ht="15.6" x14ac:dyDescent="0.3">
      <c r="C34" s="63" t="s">
        <v>92</v>
      </c>
      <c r="D34" s="64" t="s">
        <v>93</v>
      </c>
    </row>
    <row r="35" spans="3:4" ht="15.6" x14ac:dyDescent="0.3">
      <c r="C35" s="63" t="s">
        <v>94</v>
      </c>
      <c r="D35" s="64" t="s">
        <v>95</v>
      </c>
    </row>
    <row r="36" spans="3:4" ht="15.6" x14ac:dyDescent="0.3">
      <c r="C36" s="63" t="s">
        <v>96</v>
      </c>
      <c r="D36" s="64" t="s">
        <v>124</v>
      </c>
    </row>
    <row r="37" spans="3:4" ht="15.6" x14ac:dyDescent="0.3">
      <c r="C37" s="63" t="s">
        <v>97</v>
      </c>
      <c r="D37" s="64" t="s">
        <v>125</v>
      </c>
    </row>
    <row r="38" spans="3:4" ht="15.6" x14ac:dyDescent="0.3">
      <c r="C38" s="63" t="s">
        <v>98</v>
      </c>
      <c r="D38" s="64" t="s">
        <v>126</v>
      </c>
    </row>
    <row r="39" spans="3:4" ht="15.6" x14ac:dyDescent="0.3">
      <c r="C39" s="63" t="s">
        <v>99</v>
      </c>
      <c r="D39" s="64" t="s">
        <v>127</v>
      </c>
    </row>
    <row r="40" spans="3:4" ht="15.6" x14ac:dyDescent="0.3">
      <c r="C40" s="63" t="s">
        <v>100</v>
      </c>
      <c r="D40" s="64" t="s">
        <v>128</v>
      </c>
    </row>
    <row r="41" spans="3:4" ht="15.6" x14ac:dyDescent="0.3">
      <c r="C41" s="63" t="s">
        <v>101</v>
      </c>
      <c r="D41" s="64" t="s">
        <v>129</v>
      </c>
    </row>
    <row r="42" spans="3:4" ht="15.6" x14ac:dyDescent="0.3">
      <c r="C42" s="63" t="s">
        <v>102</v>
      </c>
      <c r="D42" s="64" t="s">
        <v>130</v>
      </c>
    </row>
    <row r="43" spans="3:4" ht="15.6" x14ac:dyDescent="0.3">
      <c r="C43" s="63" t="s">
        <v>103</v>
      </c>
      <c r="D43" s="64" t="s">
        <v>131</v>
      </c>
    </row>
    <row r="44" spans="3:4" ht="15.6" x14ac:dyDescent="0.3">
      <c r="C44" s="63" t="s">
        <v>104</v>
      </c>
      <c r="D44" s="64" t="s">
        <v>132</v>
      </c>
    </row>
    <row r="45" spans="3:4" ht="15.6" x14ac:dyDescent="0.3">
      <c r="C45" s="63" t="s">
        <v>105</v>
      </c>
      <c r="D45" s="64" t="s">
        <v>133</v>
      </c>
    </row>
    <row r="46" spans="3:4" ht="15.6" x14ac:dyDescent="0.3">
      <c r="C46" s="63" t="s">
        <v>106</v>
      </c>
      <c r="D46" s="64" t="s">
        <v>134</v>
      </c>
    </row>
    <row r="47" spans="3:4" ht="15.6" x14ac:dyDescent="0.3">
      <c r="C47" s="63" t="s">
        <v>107</v>
      </c>
      <c r="D47" s="64" t="s">
        <v>135</v>
      </c>
    </row>
    <row r="48" spans="3:4" ht="15.6" x14ac:dyDescent="0.3">
      <c r="C48" s="63" t="s">
        <v>108</v>
      </c>
      <c r="D48" s="64" t="s">
        <v>136</v>
      </c>
    </row>
    <row r="49" spans="3:4" ht="15.6" x14ac:dyDescent="0.3">
      <c r="C49" s="63" t="s">
        <v>109</v>
      </c>
      <c r="D49" s="65" t="s">
        <v>110</v>
      </c>
    </row>
    <row r="50" spans="3:4" ht="15.6" x14ac:dyDescent="0.3">
      <c r="C50" s="63" t="s">
        <v>111</v>
      </c>
      <c r="D50" s="65" t="s">
        <v>112</v>
      </c>
    </row>
    <row r="51" spans="3:4" ht="15.6" x14ac:dyDescent="0.3">
      <c r="C51" s="63" t="s">
        <v>113</v>
      </c>
      <c r="D51" s="65" t="s">
        <v>114</v>
      </c>
    </row>
    <row r="52" spans="3:4" ht="15.6" x14ac:dyDescent="0.3">
      <c r="C52" s="63" t="s">
        <v>115</v>
      </c>
      <c r="D52" s="65" t="s">
        <v>116</v>
      </c>
    </row>
    <row r="53" spans="3:4" ht="15.6" x14ac:dyDescent="0.3">
      <c r="C53" s="63" t="s">
        <v>117</v>
      </c>
      <c r="D53" s="65" t="s">
        <v>118</v>
      </c>
    </row>
    <row r="54" spans="3:4" ht="15.6" x14ac:dyDescent="0.3">
      <c r="C54" s="63" t="s">
        <v>119</v>
      </c>
      <c r="D54" s="65" t="s">
        <v>120</v>
      </c>
    </row>
    <row r="55" spans="3:4" ht="15.6" x14ac:dyDescent="0.3">
      <c r="C55" s="63"/>
      <c r="D55" s="65"/>
    </row>
    <row r="56" spans="3:4" ht="15.6" x14ac:dyDescent="0.3">
      <c r="C56" s="63"/>
      <c r="D56" s="65"/>
    </row>
    <row r="57" spans="3:4" ht="16.2" thickBot="1" x14ac:dyDescent="0.35">
      <c r="C57" s="66"/>
      <c r="D57" s="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DVF-3.1-FO05 LEGALIZA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Universidad Autonoma de Occidente</dc:creator>
  <cp:lastModifiedBy>Coordinación Central</cp:lastModifiedBy>
  <cp:lastPrinted>2026-01-19T22:23:33Z</cp:lastPrinted>
  <dcterms:created xsi:type="dcterms:W3CDTF">2008-07-09T13:27:38Z</dcterms:created>
  <dcterms:modified xsi:type="dcterms:W3CDTF">2026-01-20T16:30:46Z</dcterms:modified>
</cp:coreProperties>
</file>